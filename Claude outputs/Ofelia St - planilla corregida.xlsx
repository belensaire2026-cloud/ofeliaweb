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os" sheetId="1" state="visible" r:id="rId3"/>
    <sheet name="Compras" sheetId="2" state="visible" r:id="rId4"/>
    <sheet name="Ventas" sheetId="3" state="visible" r:id="rId5"/>
    <sheet name="Stock" sheetId="4" state="visible" r:id="rId6"/>
    <sheet name="Web" sheetId="5" state="visible" r:id="rId7"/>
    <sheet name="Encargos " sheetId="6" state="visible" r:id="rId8"/>
    <sheet name="Inversión" sheetId="7" state="visible" r:id="rId9"/>
    <sheet name="Warmichella" sheetId="8" state="visible" r:id="rId10"/>
    <sheet name="Hoja 1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<sst xmlns="http://schemas.openxmlformats.org/spreadsheetml/2006/main" count="1275" uniqueCount="453">
  <si>
    <t xml:space="preserve">COSTOS Y PRECIOS</t>
  </si>
  <si>
    <t xml:space="preserve">Completá solo las celdas amarillas. El resto se calcula solo.</t>
  </si>
  <si>
    <t xml:space="preserve">1. PACKAGING</t>
  </si>
  <si>
    <t xml:space="preserve">Componente</t>
  </si>
  <si>
    <t xml:space="preserve">Precio del pack</t>
  </si>
  <si>
    <t xml:space="preserve">Unidades</t>
  </si>
  <si>
    <t xml:space="preserve">Costo por pieza</t>
  </si>
  <si>
    <t xml:space="preserve">Descripción del pedido</t>
  </si>
  <si>
    <t xml:space="preserve">Notas</t>
  </si>
  <si>
    <t xml:space="preserve">Sticker isotipo</t>
  </si>
  <si>
    <t xml:space="preserve">Ideas Argentinas. Redondo 3,5 cm, fondo chocolate con la O manteca, papel adhesivo, troquelado incluido. 1 plancha de 29x40 cm = $1.600 + IVA. Producción normal 48/72 hs. Falta que confirmen cuántos entran por plancha (estimado 70, con 3 mm entre siluetas).</t>
  </si>
  <si>
    <t xml:space="preserve">fijarme el color para pagarle a roxana e imprimir</t>
  </si>
  <si>
    <t xml:space="preserve">Etiqueta interior</t>
  </si>
  <si>
    <t xml:space="preserve">Ideas Argentinas. Tarjeta 8x5 cm horizontal, ilustración 300 gr, frente y dorso. Frente con logo, dorso manteca liso. Entran 30 por hoja A3+ (31x46 cm). 2 impresiones = $2.300 + IVA = 60 tarjetas. Mitad plata 925, mitad acero blanco.</t>
  </si>
  <si>
    <t xml:space="preserve">tengo que ir a retirar a larralde</t>
  </si>
  <si>
    <t xml:space="preserve">Papel seda</t>
  </si>
  <si>
    <t xml:space="preserve">fijarme si sirven las tarjetas interiores</t>
  </si>
  <si>
    <t xml:space="preserve">Caja Kraft</t>
  </si>
  <si>
    <t xml:space="preserve">compre en smartpackaging, me queda retirarlo x ramallo</t>
  </si>
  <si>
    <t xml:space="preserve">Sticker cerrar bolsa</t>
  </si>
  <si>
    <t xml:space="preserve">mande a studioimage falta q contesten</t>
  </si>
  <si>
    <t xml:space="preserve">Bolsa autoadhesiva</t>
  </si>
  <si>
    <t xml:space="preserve">Bolsa autoadhesiva 6x11</t>
  </si>
  <si>
    <t xml:space="preserve">compre por ML tengo que retirarlo</t>
  </si>
  <si>
    <t xml:space="preserve">Bolsa con manija</t>
  </si>
  <si>
    <t xml:space="preserve">Bolsa de papel con manija para entregas en mano. Sin cotizar todavía.</t>
  </si>
  <si>
    <t xml:space="preserve">TOTAL PACKAGING POR PIEZA</t>
  </si>
  <si>
    <t xml:space="preserve">2. MIS REGLAS</t>
  </si>
  <si>
    <t xml:space="preserve">Multiplico el costo por</t>
  </si>
  <si>
    <t xml:space="preserve">El precio sugerido es el doble del costo total (joya + packaging).</t>
  </si>
  <si>
    <t xml:space="preserve">Comisión de la venta</t>
  </si>
  <si>
    <t xml:space="preserve">Poné 0% si cobrás por transferencia.</t>
  </si>
  <si>
    <t xml:space="preserve">3. PRODUCTOS</t>
  </si>
  <si>
    <t xml:space="preserve">Producto</t>
  </si>
  <si>
    <t xml:space="preserve">Material</t>
  </si>
  <si>
    <t xml:space="preserve">Categoría</t>
  </si>
  <si>
    <t xml:space="preserve">Proveedor</t>
  </si>
  <si>
    <t xml:space="preserve">Link de la publicación</t>
  </si>
  <si>
    <t xml:space="preserve">Costo de compra</t>
  </si>
  <si>
    <t xml:space="preserve">Descuento</t>
  </si>
  <si>
    <t xml:space="preserve">Packaging</t>
  </si>
  <si>
    <t xml:space="preserve">Costo total</t>
  </si>
  <si>
    <t xml:space="preserve">Precio sugerido</t>
  </si>
  <si>
    <t xml:space="preserve">Precio de venta</t>
  </si>
  <si>
    <t xml:space="preserve">Ganancia por unidad</t>
  </si>
  <si>
    <t xml:space="preserve">Margen</t>
  </si>
  <si>
    <t xml:space="preserve">Argollitas Classic N°1</t>
  </si>
  <si>
    <t xml:space="preserve">Plata 925</t>
  </si>
  <si>
    <t xml:space="preserve">Aros</t>
  </si>
  <si>
    <t xml:space="preserve">Docha</t>
  </si>
  <si>
    <t xml:space="preserve">Cubano N°0 </t>
  </si>
  <si>
    <t xml:space="preserve">← ejemplos, pisalos con tus productos</t>
  </si>
  <si>
    <t xml:space="preserve">Argollitas Classic N°2</t>
  </si>
  <si>
    <t xml:space="preserve">Cubano N°1</t>
  </si>
  <si>
    <t xml:space="preserve">Argollitas Classic N°3</t>
  </si>
  <si>
    <t xml:space="preserve">Cubano N°2</t>
  </si>
  <si>
    <t xml:space="preserve">Argollitas Classic N°4</t>
  </si>
  <si>
    <t xml:space="preserve">Cubano N°3</t>
  </si>
  <si>
    <t xml:space="preserve">Argollitas Classic N°5</t>
  </si>
  <si>
    <t xml:space="preserve">Cubano N°4</t>
  </si>
  <si>
    <t xml:space="preserve">Cubic Mini Circulo </t>
  </si>
  <si>
    <t xml:space="preserve">Mini susanita 2mm</t>
  </si>
  <si>
    <t xml:space="preserve">Cubic Circulo Docha</t>
  </si>
  <si>
    <t xml:space="preserve">Mini susanita 3mm</t>
  </si>
  <si>
    <t xml:space="preserve">Cubic Cuadrado</t>
  </si>
  <si>
    <t xml:space="preserve">Cuadrado cubic 4mm</t>
  </si>
  <si>
    <t xml:space="preserve">Argollitas Marco  Docha</t>
  </si>
  <si>
    <t xml:space="preserve">- </t>
  </si>
  <si>
    <t xml:space="preserve">Anillo Circulo</t>
  </si>
  <si>
    <t xml:space="preserve">Anillo</t>
  </si>
  <si>
    <t xml:space="preserve">Anillo circulo</t>
  </si>
  <si>
    <t xml:space="preserve">Anillo Gota</t>
  </si>
  <si>
    <t xml:space="preserve">Anillo Vera Docha</t>
  </si>
  <si>
    <t xml:space="preserve">Anillo V</t>
  </si>
  <si>
    <t xml:space="preserve">Anillo Calado </t>
  </si>
  <si>
    <t xml:space="preserve">Anillo calado</t>
  </si>
  <si>
    <t xml:space="preserve">Cadena eslabon </t>
  </si>
  <si>
    <t xml:space="preserve">Acero blanco</t>
  </si>
  <si>
    <t xml:space="preserve">Collar</t>
  </si>
  <si>
    <t xml:space="preserve">https://dochajoyaspormayor.com.ar/tienda/john-caladito/</t>
  </si>
  <si>
    <t xml:space="preserve">Cadena lisa</t>
  </si>
  <si>
    <t xml:space="preserve">Argollitas gota </t>
  </si>
  <si>
    <t xml:space="preserve">Argollitas Caviar circulo</t>
  </si>
  <si>
    <t xml:space="preserve">https://dochajoyaspormayor.com.ar/tienda/click-bolitas/</t>
  </si>
  <si>
    <t xml:space="preserve">Argollitas Caviar triangulo</t>
  </si>
  <si>
    <t xml:space="preserve">https://dochajoyaspormayor.com.ar/tienda/bolitas-en-v/</t>
  </si>
  <si>
    <t xml:space="preserve">Argollitas Ocampo</t>
  </si>
  <si>
    <t xml:space="preserve">Argollitas Bubble</t>
  </si>
  <si>
    <t xml:space="preserve">Argollitas Bombe</t>
  </si>
  <si>
    <t xml:space="preserve">https://dochajoyaspormayor.com.ar/tienda/en-v-bombe/</t>
  </si>
  <si>
    <t xml:space="preserve">Argollita Duna N°0</t>
  </si>
  <si>
    <t xml:space="preserve">https://dochajoyaspormayor.com.ar/tienda/carterita-snail/</t>
  </si>
  <si>
    <t xml:space="preserve">Argollita Duna N°1</t>
  </si>
  <si>
    <t xml:space="preserve">https://dochajoyaspormayor.com.ar/tienda/carteritas-torce/</t>
  </si>
  <si>
    <t xml:space="preserve">Anillo Corazón I</t>
  </si>
  <si>
    <t xml:space="preserve">Acero inoxidable</t>
  </si>
  <si>
    <t xml:space="preserve">Blert</t>
  </si>
  <si>
    <t xml:space="preserve">gordo</t>
  </si>
  <si>
    <t xml:space="preserve">Anillo Ovalo</t>
  </si>
  <si>
    <t xml:space="preserve">Anillo Star</t>
  </si>
  <si>
    <t xml:space="preserve">Anillo Nodo</t>
  </si>
  <si>
    <t xml:space="preserve">grandote con agujeros </t>
  </si>
  <si>
    <t xml:space="preserve">Anillo Corazón II Plateado</t>
  </si>
  <si>
    <t xml:space="preserve">finito</t>
  </si>
  <si>
    <t xml:space="preserve">Anillo Irregular</t>
  </si>
  <si>
    <t xml:space="preserve">Anillo Zafira</t>
  </si>
  <si>
    <t xml:space="preserve">nodo pero chico</t>
  </si>
  <si>
    <t xml:space="preserve">Anillo Norix</t>
  </si>
  <si>
    <t xml:space="preserve">agujeros cruzados valen</t>
  </si>
  <si>
    <t xml:space="preserve">Anillo Vanton</t>
  </si>
  <si>
    <t xml:space="preserve">uno para arriba, otro para abajo</t>
  </si>
  <si>
    <t xml:space="preserve">Anillo Azmira</t>
  </si>
  <si>
    <t xml:space="preserve">lineas cruzado</t>
  </si>
  <si>
    <t xml:space="preserve">Anillo Mina</t>
  </si>
  <si>
    <t xml:space="preserve">cruzado ancho chapa</t>
  </si>
  <si>
    <t xml:space="preserve">Anillo Virel</t>
  </si>
  <si>
    <t xml:space="preserve">termina con punta</t>
  </si>
  <si>
    <t xml:space="preserve">Cubic Mini cuadrado</t>
  </si>
  <si>
    <t xml:space="preserve">925 ARG</t>
  </si>
  <si>
    <t xml:space="preserve">3mm mide</t>
  </si>
  <si>
    <t xml:space="preserve">Aros Halo N°2 (14 mm)</t>
  </si>
  <si>
    <t xml:space="preserve">https://925arg.com/product.php?id=18369&amp;iddet=34487</t>
  </si>
  <si>
    <t xml:space="preserve">Aros Gala (12 mm)</t>
  </si>
  <si>
    <t xml:space="preserve">https://925arg.com/product.php?id=46433&amp;iddet=76647</t>
  </si>
  <si>
    <t xml:space="preserve">Argollitas 10mm</t>
  </si>
  <si>
    <t xml:space="preserve">Anillos Corazones III  </t>
  </si>
  <si>
    <t xml:space="preserve">https://925arg.com/product.php?id=52954&amp;iddet=86020</t>
  </si>
  <si>
    <t xml:space="preserve">Anillo Vena</t>
  </si>
  <si>
    <t xml:space="preserve">https://925arg.com/product.php?id=43711&amp;iddet=72660</t>
  </si>
  <si>
    <t xml:space="preserve">Anillo Deriva</t>
  </si>
  <si>
    <t xml:space="preserve">https://925arg.com/product.php?id=50175&amp;iddet=81976</t>
  </si>
  <si>
    <t xml:space="preserve">Anillo Sin Fin</t>
  </si>
  <si>
    <t xml:space="preserve">https://925arg.com/product.php?id=21231&amp;iddet=34524</t>
  </si>
  <si>
    <t xml:space="preserve">Collar Muna Circulo</t>
  </si>
  <si>
    <t xml:space="preserve">https://925arg.com/product.php?id=1476&amp;iddet=1827</t>
  </si>
  <si>
    <t xml:space="preserve">Collar Muna Corazón</t>
  </si>
  <si>
    <t xml:space="preserve">https://925arg.com/product.php?id=46642&amp;iddet=76952</t>
  </si>
  <si>
    <t xml:space="preserve">Collar Fino Circulo</t>
  </si>
  <si>
    <t xml:space="preserve">https://925arg.com/product.php?id=13722&amp;iddet=19768</t>
  </si>
  <si>
    <t xml:space="preserve">Anillo Cala</t>
  </si>
  <si>
    <t xml:space="preserve">Acero dorado</t>
  </si>
  <si>
    <t xml:space="preserve">Cata Jewels</t>
  </si>
  <si>
    <t xml:space="preserve">https://catajewelsmayorista.com/products/anillo-gildy?variant=53871300247920</t>
  </si>
  <si>
    <t xml:space="preserve">Anillo Malvina Dorado</t>
  </si>
  <si>
    <t xml:space="preserve">https://catajewelsmayorista.com/products/anillo-eden-gold?variant=53793671709040&amp;sso=silent</t>
  </si>
  <si>
    <t xml:space="preserve">Anillo Malvina Plateado</t>
  </si>
  <si>
    <t xml:space="preserve">Anillo Luna</t>
  </si>
  <si>
    <t xml:space="preserve">https://catajewelsmayorista.com/products/anillo-poppy-silver?variant=52561699406192</t>
  </si>
  <si>
    <t xml:space="preserve">Collar Girasol</t>
  </si>
  <si>
    <t xml:space="preserve">https://catajewelsmayorista.com/products/collar-el-girasol?variant=54184174354800</t>
  </si>
  <si>
    <t xml:space="preserve">Collar Sardina</t>
  </si>
  <si>
    <t xml:space="preserve">https://catajewelsmayorista.com/products/collar-el-pez?variant=54184174387568&amp;sso=silent</t>
  </si>
  <si>
    <t xml:space="preserve">Aros Atlas</t>
  </si>
  <si>
    <t xml:space="preserve">https://catajewelsmayorista.com/products/aros-boldie-gold</t>
  </si>
  <si>
    <t xml:space="preserve">Aros Rosella Dorado</t>
  </si>
  <si>
    <t xml:space="preserve">https://catajewelsmayorista.com/products/aros-rosella-gold?variant=52784303604080</t>
  </si>
  <si>
    <t xml:space="preserve">Aros Nara</t>
  </si>
  <si>
    <t xml:space="preserve">https://catajewelsmayorista.com/products/aros-mediterraneo?variant=52784305668464</t>
  </si>
  <si>
    <t xml:space="preserve">Aros Oliva</t>
  </si>
  <si>
    <t xml:space="preserve">https://catajewelsmayorista.com/products/aros-towers?variant=52784305045872</t>
  </si>
  <si>
    <t xml:space="preserve">Collar Amour</t>
  </si>
  <si>
    <t xml:space="preserve">https://catajewelsmayorista.com/products/collar-marinero-silver-heart?variant=52721739399536</t>
  </si>
  <si>
    <t xml:space="preserve">Argollitas Classic N°1 D</t>
  </si>
  <si>
    <t xml:space="preserve">Argollitas Classic N°2 D</t>
  </si>
  <si>
    <t xml:space="preserve">Argollitas Halo N°1 (12 mm)</t>
  </si>
  <si>
    <t xml:space="preserve">https://925arg.com/product.php?id=29355&amp;iddet=48085</t>
  </si>
  <si>
    <t xml:space="preserve">Anillo Vera</t>
  </si>
  <si>
    <t xml:space="preserve">https://925arg.com/product.php?id=19594&amp;iddet=29783</t>
  </si>
  <si>
    <t xml:space="preserve">Cubic Circulo (5mm)</t>
  </si>
  <si>
    <t xml:space="preserve">https://925arg.com/product.php?id=6867&amp;iddet=8612</t>
  </si>
  <si>
    <t xml:space="preserve">Aritos Perlas (4mm)</t>
  </si>
  <si>
    <t xml:space="preserve">https://925arg.com/product.php?id=28569&amp;iddet=44953</t>
  </si>
  <si>
    <t xml:space="preserve">Argollitas Marco (10mm)</t>
  </si>
  <si>
    <t xml:space="preserve">https://925arg.com/product.php?id=19170&amp;iddet=28984</t>
  </si>
  <si>
    <t xml:space="preserve">Argollitas Espiga (15mm)</t>
  </si>
  <si>
    <t xml:space="preserve">Aritos Corazón </t>
  </si>
  <si>
    <t xml:space="preserve">https://925arg.com/product.php?id=46606&amp;iddet=76912 combo</t>
  </si>
  <si>
    <t xml:space="preserve">Collar Aimee</t>
  </si>
  <si>
    <t xml:space="preserve">https://925arg.com/product.php?id=46606&amp;iddet=76912</t>
  </si>
  <si>
    <t xml:space="preserve">Collar Delta</t>
  </si>
  <si>
    <t xml:space="preserve">Boho Colection</t>
  </si>
  <si>
    <t xml:space="preserve">Utopias</t>
  </si>
  <si>
    <t xml:space="preserve">Alma Bohemia (dije triangular, collar piedras) 7032</t>
  </si>
  <si>
    <t xml:space="preserve">Collar Bruna</t>
  </si>
  <si>
    <t xml:space="preserve">Alma Bohemia (dije corazón, canutullido dorado y negro) 7033</t>
  </si>
  <si>
    <t xml:space="preserve">Collar Nova </t>
  </si>
  <si>
    <t xml:space="preserve">Alma Bohemia (dije estrella, cuero marron cadena) 7034</t>
  </si>
  <si>
    <t xml:space="preserve">Collar Luna</t>
  </si>
  <si>
    <t xml:space="preserve">Alma Bohemia (dije luna, cadena pelotitas dorada) 7035</t>
  </si>
  <si>
    <t xml:space="preserve">Collar Ambar</t>
  </si>
  <si>
    <t xml:space="preserve">Alma Bohemia (muchos dijes, cadena cuero mini marrón) 7036</t>
  </si>
  <si>
    <t xml:space="preserve">Pulsera Bruna </t>
  </si>
  <si>
    <t xml:space="preserve">Pulsera</t>
  </si>
  <si>
    <t xml:space="preserve">Alma Bohemia (pulsera canutillo dorado y negro) 7038</t>
  </si>
  <si>
    <t xml:space="preserve">Collar Nina</t>
  </si>
  <si>
    <t xml:space="preserve">Alma Bohemia (collar canutillo con campanitas) 7040</t>
  </si>
  <si>
    <t xml:space="preserve">Collar Duna </t>
  </si>
  <si>
    <t xml:space="preserve">Alma Bohemia (collar canutillo con diente crudo) 7048</t>
  </si>
  <si>
    <t xml:space="preserve">Collar Pampa</t>
  </si>
  <si>
    <t xml:space="preserve">Destino (collar largo gamuza marron flecos borde) 6652</t>
  </si>
  <si>
    <t xml:space="preserve">Collar Kaya</t>
  </si>
  <si>
    <t xml:space="preserve">Destino (collar cierre marinero hoja turquesa) 6643</t>
  </si>
  <si>
    <t xml:space="preserve">Collar Isla</t>
  </si>
  <si>
    <t xml:space="preserve">Destino (collar piedra turquesa) 6644</t>
  </si>
  <si>
    <t xml:space="preserve">Collar Vega</t>
  </si>
  <si>
    <t xml:space="preserve">Etnika (collares dorados muchos gordo) 6681</t>
  </si>
  <si>
    <t xml:space="preserve">Collar Ala</t>
  </si>
  <si>
    <t xml:space="preserve">Gris Peltre (collar plumas) 6696</t>
  </si>
  <si>
    <t xml:space="preserve">Collar Roma</t>
  </si>
  <si>
    <t xml:space="preserve">Gris Peltre (collar corazón) 6698</t>
  </si>
  <si>
    <t xml:space="preserve">Collar Lira</t>
  </si>
  <si>
    <t xml:space="preserve">Gris Peltre (collar plateado las campanas pero circulo) 6703</t>
  </si>
  <si>
    <t xml:space="preserve">Collar Peltre</t>
  </si>
  <si>
    <t xml:space="preserve">Gris Peltre (collar pelotitas gris oscuro y platead) 6710</t>
  </si>
  <si>
    <t xml:space="preserve">Collar Marea</t>
  </si>
  <si>
    <t xml:space="preserve">Safira (collar canutillos celestes dorado marron) 6332</t>
  </si>
  <si>
    <t xml:space="preserve">Collar Arena</t>
  </si>
  <si>
    <t xml:space="preserve">Tierra mistica (collar canutillo blanco marron gris) 6688</t>
  </si>
  <si>
    <t xml:space="preserve">Aros Rosella Plateados</t>
  </si>
  <si>
    <t xml:space="preserve">Aros  </t>
  </si>
  <si>
    <t xml:space="preserve">aros tres circulos. (Alto/5 cm  Ancho/0.9cm)</t>
  </si>
  <si>
    <t xml:space="preserve">Aros Capri Vino</t>
  </si>
  <si>
    <t xml:space="preserve">Aros Capri Rosa</t>
  </si>
  <si>
    <t xml:space="preserve">Aros Capri Verde</t>
  </si>
  <si>
    <t xml:space="preserve">Aros Capri Blanco</t>
  </si>
  <si>
    <t xml:space="preserve">Aros Cuore</t>
  </si>
  <si>
    <t xml:space="preserve">https://catajewelsmayorista.com/products/ar000174?variant=52561709597040</t>
  </si>
  <si>
    <t xml:space="preserve">Collar Amour Chunky</t>
  </si>
  <si>
    <t xml:space="preserve">https://catajewelsmayorista.com/products/coll000070?variant=52561724211568</t>
  </si>
  <si>
    <t xml:space="preserve">Anillo Corazón II Dorado</t>
  </si>
  <si>
    <t xml:space="preserve">https://catajewelsmayorista.com/products/an00100?variant=52561725194608</t>
  </si>
  <si>
    <t xml:space="preserve">Anillo Lia Dorado</t>
  </si>
  <si>
    <t xml:space="preserve">anillo bolitas </t>
  </si>
  <si>
    <t xml:space="preserve">Anillo Lia Plateado</t>
  </si>
  <si>
    <t xml:space="preserve">Anillo Onix</t>
  </si>
  <si>
    <t xml:space="preserve">https://catajewelsmayorista.com/products/anillo-troll-silver?variant=54232429298032</t>
  </si>
  <si>
    <t xml:space="preserve">Pulsera Bolitas</t>
  </si>
  <si>
    <t xml:space="preserve">https://catajewelsmayorista.com/products/pulsera-bolitas-gold?variant=52721740644720</t>
  </si>
  <si>
    <t xml:space="preserve">Duo Collar Nazar Rojo</t>
  </si>
  <si>
    <t xml:space="preserve">Duo Collar Nazar Blanco</t>
  </si>
  <si>
    <t xml:space="preserve">Collar Ocampo</t>
  </si>
  <si>
    <t xml:space="preserve">https://catajewelsmayorista.com/products/collar-corazon-petite-silver?variant=54232428413296</t>
  </si>
  <si>
    <t xml:space="preserve">COMPRAS</t>
  </si>
  <si>
    <t xml:space="preserve">Una línea por cada pieza que comprás. Elegí el producto de la lista y poné el talle solo si es anillo.</t>
  </si>
  <si>
    <t xml:space="preserve">Dejá el costo vacío para que tome el costo total de la hoja Costos. Escribilo solo si pagaste otro precio.</t>
  </si>
  <si>
    <t xml:space="preserve">Fecha</t>
  </si>
  <si>
    <t xml:space="preserve">Talle</t>
  </si>
  <si>
    <t xml:space="preserve">Cantidad</t>
  </si>
  <si>
    <t xml:space="preserve">Costo unitario</t>
  </si>
  <si>
    <t xml:space="preserve">Total</t>
  </si>
  <si>
    <t xml:space="preserve">Proveedor / Notas</t>
  </si>
  <si>
    <t xml:space="preserve">Único</t>
  </si>
  <si>
    <t xml:space="preserve">Stock inicial</t>
  </si>
  <si>
    <t xml:space="preserve">Mediano</t>
  </si>
  <si>
    <t xml:space="preserve">Chico</t>
  </si>
  <si>
    <t xml:space="preserve">Grande</t>
  </si>
  <si>
    <t xml:space="preserve">Anillo calado </t>
  </si>
  <si>
    <t xml:space="preserve">stock inicial</t>
  </si>
  <si>
    <t xml:space="preserve">Si dejás el costo vacío se usa el Costo total de la hoja Costos.</t>
  </si>
  <si>
    <t xml:space="preserve">VENTAS</t>
  </si>
  <si>
    <t xml:space="preserve">Una línea por cada venta. Elegí el producto de la lista y poné el talle solo si es anillo.</t>
  </si>
  <si>
    <t xml:space="preserve">Dejá el precio vacío para que tome tu precio de venta. Escribilo solo si hiciste un precio especial.</t>
  </si>
  <si>
    <t xml:space="preserve">Precio unitario</t>
  </si>
  <si>
    <t xml:space="preserve">Clienta</t>
  </si>
  <si>
    <t xml:space="preserve">gabi de simone</t>
  </si>
  <si>
    <t xml:space="preserve">abueka</t>
  </si>
  <si>
    <t xml:space="preserve">valen</t>
  </si>
  <si>
    <t xml:space="preserve">caro</t>
  </si>
  <si>
    <t xml:space="preserve">vicky</t>
  </si>
  <si>
    <t xml:space="preserve">LO PERDI</t>
  </si>
  <si>
    <t xml:space="preserve">abuela para regalo gabi</t>
  </si>
  <si>
    <t xml:space="preserve">mica</t>
  </si>
  <si>
    <t xml:space="preserve">abuela piqui</t>
  </si>
  <si>
    <t xml:space="preserve">tia nariana</t>
  </si>
  <si>
    <t xml:space="preserve">VALEN</t>
  </si>
  <si>
    <t xml:space="preserve">SE ROMPIO</t>
  </si>
  <si>
    <t xml:space="preserve">PARA LA HERMANA</t>
  </si>
  <si>
    <t xml:space="preserve">está fallado</t>
  </si>
  <si>
    <t xml:space="preserve">se me rompio</t>
  </si>
  <si>
    <t xml:space="preserve">lola gogo</t>
  </si>
  <si>
    <t xml:space="preserve">gabriela juliano (mama</t>
  </si>
  <si>
    <t xml:space="preserve">abuela</t>
  </si>
  <si>
    <t xml:space="preserve">nico leandro grinfield </t>
  </si>
  <si>
    <t xml:space="preserve">gaby de simone</t>
  </si>
  <si>
    <t xml:space="preserve">juli mama</t>
  </si>
  <si>
    <t xml:space="preserve">laurita</t>
  </si>
  <si>
    <t xml:space="preserve">anto</t>
  </si>
  <si>
    <t xml:space="preserve">silvina</t>
  </si>
  <si>
    <t xml:space="preserve">euge</t>
  </si>
  <si>
    <t xml:space="preserve">valen a costo</t>
  </si>
  <si>
    <t xml:space="preserve">daniela la porta amiga mama</t>
  </si>
  <si>
    <t xml:space="preserve">lore sanleone</t>
  </si>
  <si>
    <t xml:space="preserve">mariela</t>
  </si>
  <si>
    <t xml:space="preserve">zoe alumna</t>
  </si>
  <si>
    <t xml:space="preserve">caro </t>
  </si>
  <si>
    <t xml:space="preserve">lau mama schuster</t>
  </si>
  <si>
    <t xml:space="preserve">mama</t>
  </si>
  <si>
    <t xml:space="preserve">gabi fortunato</t>
  </si>
  <si>
    <t xml:space="preserve">marisa mikluch</t>
  </si>
  <si>
    <t xml:space="preserve">juana torras random</t>
  </si>
  <si>
    <t xml:space="preserve">mia heredia</t>
  </si>
  <si>
    <t xml:space="preserve">FALTA PAGAR</t>
  </si>
  <si>
    <t xml:space="preserve">loli </t>
  </si>
  <si>
    <t xml:space="preserve">kari zoe</t>
  </si>
  <si>
    <t xml:space="preserve">pu</t>
  </si>
  <si>
    <t xml:space="preserve">Si dejás el precio vacío se usa el Precio de venta de la hoja Costos.</t>
  </si>
  <si>
    <t xml:space="preserve">STOCK</t>
  </si>
  <si>
    <t xml:space="preserve">Esta hoja se calcula sola desde Compras y Ventas. Acá no cargues nada.</t>
  </si>
  <si>
    <t xml:space="preserve">Para descontar una venta, agregá la línea en la hoja Ventas.</t>
  </si>
  <si>
    <t xml:space="preserve">Avisame cuando queden</t>
  </si>
  <si>
    <t xml:space="preserve">o menos</t>
  </si>
  <si>
    <t xml:space="preserve">Piezas en stock</t>
  </si>
  <si>
    <t xml:space="preserve">Invertido:</t>
  </si>
  <si>
    <t xml:space="preserve">Facturado:</t>
  </si>
  <si>
    <t xml:space="preserve">Ganancia:</t>
  </si>
  <si>
    <t xml:space="preserve">pasa eso porque todavia no vendi todo lo que esta en stock</t>
  </si>
  <si>
    <t xml:space="preserve">Estado</t>
  </si>
  <si>
    <t xml:space="preserve">Vendidas</t>
  </si>
  <si>
    <t xml:space="preserve">Facturado</t>
  </si>
  <si>
    <t xml:space="preserve">Cómo leer esta hoja</t>
  </si>
  <si>
    <t xml:space="preserve">• Todo sale de Compras y Ventas. La única celda editable acá es el aviso de B5.</t>
  </si>
  <si>
    <t xml:space="preserve">• Estado dice SIN STOCK cuando no queda nada y REPONER cuando quedan pocas.</t>
  </si>
  <si>
    <t xml:space="preserve">• En anillos, Reponer nombra solo los talles que alguna vez compraste.</t>
  </si>
  <si>
    <t xml:space="preserve">DATOS PARA LA WEB</t>
  </si>
  <si>
    <t xml:space="preserve">Esta hoja se completa sola desde Costos y Stock. No cargues nada acá salvo la columna Destacado y la de Foto.</t>
  </si>
  <si>
    <t xml:space="preserve">Es la única hoja que se publica: no incluye costos, proveedores ni márgenes.</t>
  </si>
  <si>
    <t xml:space="preserve">Precio</t>
  </si>
  <si>
    <t xml:space="preserve">Stock</t>
  </si>
  <si>
    <t xml:space="preserve">Destacado</t>
  </si>
  <si>
    <t xml:space="preserve">Foto (link)</t>
  </si>
  <si>
    <t xml:space="preserve">Cómo se usa esta hoja</t>
  </si>
  <si>
    <t xml:space="preserve">• Producto, Material, Categoría, Precio y Stock se traen solos. Si cambiás algo en Costos o en Stock, acá se actualiza.</t>
  </si>
  <si>
    <t xml:space="preserve">• Destacado: escribí sí en las cuatro piezas que querés que aparezcan en la portada de la web (una por categoría).</t>
  </si>
  <si>
    <t xml:space="preserve">• Foto (link): pegá el enlace de la imagen del producto. Si lo dejás vacío, la web muestra un fondo del color del material.</t>
  </si>
  <si>
    <t xml:space="preserve">• Precio: sale de la columna Precio de venta de Costos. Si está vacío, la pieza no se muestra en la web.</t>
  </si>
  <si>
    <t xml:space="preserve">• Stock: sale de Total en stock. Cuando llega a 0, la web la marca agotada y ofrece piezas similares.</t>
  </si>
  <si>
    <t xml:space="preserve">• Las celdas amarillas son las únicas que se completan a mano.</t>
  </si>
  <si>
    <t xml:space="preserve">ENCARGOS</t>
  </si>
  <si>
    <t xml:space="preserve">Una línea por cada pieza que te encargan y no tenés en stock.</t>
  </si>
  <si>
    <t xml:space="preserve">Pieza, proveedor, talle y estado son desplegables. El saldo se calcula solo. La fila 6 es un ejemplo: pisala.</t>
  </si>
  <si>
    <t xml:space="preserve">Fecha del pedido</t>
  </si>
  <si>
    <t xml:space="preserve">Contacto</t>
  </si>
  <si>
    <t xml:space="preserve">Pieza</t>
  </si>
  <si>
    <t xml:space="preserve">Precio acordado</t>
  </si>
  <si>
    <t xml:space="preserve">Seña</t>
  </si>
  <si>
    <t xml:space="preserve">Saldo</t>
  </si>
  <si>
    <t xml:space="preserve">Fecha estimada</t>
  </si>
  <si>
    <t xml:space="preserve">RESUMEN</t>
  </si>
  <si>
    <t xml:space="preserve">Gaby de Simone</t>
  </si>
  <si>
    <t xml:space="preserve">Pendiente</t>
  </si>
  <si>
    <t xml:space="preserve">talle normal (trabajo mama)</t>
  </si>
  <si>
    <t xml:space="preserve">Encargos abiertos</t>
  </si>
  <si>
    <t xml:space="preserve">Vicky de la Riestra</t>
  </si>
  <si>
    <t xml:space="preserve">Señas cobradas</t>
  </si>
  <si>
    <t xml:space="preserve">Silvina</t>
  </si>
  <si>
    <t xml:space="preserve">queria un talle mas (trabajo mama)</t>
  </si>
  <si>
    <t xml:space="preserve">Saldo por cobrar</t>
  </si>
  <si>
    <t xml:space="preserve">Magali Almeida </t>
  </si>
  <si>
    <t xml:space="preserve">11 6024 2165</t>
  </si>
  <si>
    <t xml:space="preserve">le dije que para el mes que viene</t>
  </si>
  <si>
    <t xml:space="preserve">Total comprometido</t>
  </si>
  <si>
    <t xml:space="preserve">Mia Heredia</t>
  </si>
  <si>
    <t xml:space="preserve">Cuando la pieza llegue y la entregues, cargá la venta en la hoja Ventas y poné Entregado acá.</t>
  </si>
  <si>
    <t xml:space="preserve">El desplegable de Pieza toma la lista de productos de la hoja Costos (A23:A122).</t>
  </si>
  <si>
    <t xml:space="preserve">INVERSIÓN Y RECUPERO</t>
  </si>
  <si>
    <t xml:space="preserve">Acá va SOLO lo que no es mercadería: publicidad, exhibidores, envíos, packaging suelto.</t>
  </si>
  <si>
    <t xml:space="preserve">La mercadería la toma sola de la hoja Compras. Amarillo = lo completás vos.</t>
  </si>
  <si>
    <t xml:space="preserve">Concepto</t>
  </si>
  <si>
    <t xml:space="preserve">Origen</t>
  </si>
  <si>
    <t xml:space="preserve">Monto</t>
  </si>
  <si>
    <t xml:space="preserve">Fecha de corte de la inversión inicial</t>
  </si>
  <si>
    <t xml:space="preserve">Publicidad Instagram</t>
  </si>
  <si>
    <t xml:space="preserve">publicidad</t>
  </si>
  <si>
    <t xml:space="preserve">bolsillo</t>
  </si>
  <si>
    <t xml:space="preserve">Publicidad TikTok</t>
  </si>
  <si>
    <t xml:space="preserve">1. INVERSIÓN INICIAL — lo que hay que devolverse</t>
  </si>
  <si>
    <t xml:space="preserve">ventas</t>
  </si>
  <si>
    <t xml:space="preserve">Mercadería de las primeras compras</t>
  </si>
  <si>
    <t xml:space="preserve">Exhibidores, publicidad y envíos</t>
  </si>
  <si>
    <t xml:space="preserve">Envio Utopias</t>
  </si>
  <si>
    <t xml:space="preserve">envíos</t>
  </si>
  <si>
    <t xml:space="preserve">TOTAL INVERSIÓN INICIAL</t>
  </si>
  <si>
    <t xml:space="preserve">Envio Cata</t>
  </si>
  <si>
    <t xml:space="preserve">Cobrado por ventas</t>
  </si>
  <si>
    <t xml:space="preserve">Envio Plata 925 Reinas</t>
  </si>
  <si>
    <t xml:space="preserve">FALTA RECUPERAR</t>
  </si>
  <si>
    <t xml:space="preserve">% recuperado</t>
  </si>
  <si>
    <t xml:space="preserve">2. REPOSICIÓN — todo lo comprado después del corte</t>
  </si>
  <si>
    <t xml:space="preserve">Mercadería repuesta</t>
  </si>
  <si>
    <t xml:space="preserve">Puesta de mi bolsillo</t>
  </si>
  <si>
    <t xml:space="preserve">Pagada con las ventas</t>
  </si>
  <si>
    <t xml:space="preserve">3. CÓMO VA EL NEGOCIO</t>
  </si>
  <si>
    <t xml:space="preserve">Costo de lo vendido</t>
  </si>
  <si>
    <t xml:space="preserve">Recuperado de mi bolsillo hasta hoy</t>
  </si>
  <si>
    <t xml:space="preserve">Falta recuperar</t>
  </si>
  <si>
    <t xml:space="preserve">Plata disponible hoy</t>
  </si>
  <si>
    <t xml:space="preserve">La inversión inicial se congela con la fecha de corte: todo lo comprado hasta</t>
  </si>
  <si>
    <t xml:space="preserve">ese día es plata tuya a recuperar. Lo de después es reposición y no mueve la meta.</t>
  </si>
  <si>
    <t xml:space="preserve">Ojo: las compras sin fecha no entran en el cálculo. Fijate que todas tengan.</t>
  </si>
  <si>
    <t xml:space="preserve">"En la mano hoy" es lo cobrado menos lo que ya volviste a gastar después del corte.</t>
  </si>
  <si>
    <t xml:space="preserve">Si pagaste un pedido que todavía no llegó, cargalo arriba como gasto con origen "ventas"</t>
  </si>
  <si>
    <t xml:space="preserve">y borrá esa fila cuando lo cargues en Compras.</t>
  </si>
  <si>
    <t xml:space="preserve">Warmichella Navidad — 12 y 13 de diciembre</t>
  </si>
  <si>
    <t xml:space="preserve">Stand MESA · Parque Náutico de San Fernando · 12 a 20 hs</t>
  </si>
  <si>
    <t xml:space="preserve">LO QUE HAY QUE CUBRIR</t>
  </si>
  <si>
    <t xml:space="preserve">Stand mesa, IVA incluido</t>
  </si>
  <si>
    <t xml:space="preserve">por los dos días</t>
  </si>
  <si>
    <t xml:space="preserve">TUS NÚMEROS POR PIEZA</t>
  </si>
  <si>
    <t xml:space="preserve">Precio de venta promedio</t>
  </si>
  <si>
    <t xml:space="preserve">Costo promedio de la pieza</t>
  </si>
  <si>
    <t xml:space="preserve">lo que te sale a vos</t>
  </si>
  <si>
    <t xml:space="preserve">Packaging por pieza</t>
  </si>
  <si>
    <t xml:space="preserve">Te queda por pieza</t>
  </si>
  <si>
    <t xml:space="preserve">Eso es, del precio</t>
  </si>
  <si>
    <t xml:space="preserve">PUNTO DE EQUILIBRIO</t>
  </si>
  <si>
    <t xml:space="preserve">Piezas que tenés que vender</t>
  </si>
  <si>
    <t xml:space="preserve">Eso en plata (facturación)</t>
  </si>
  <si>
    <t xml:space="preserve">Por día (son 2 días)</t>
  </si>
  <si>
    <t xml:space="preserve">Por hora (8 hs por día)</t>
  </si>
  <si>
    <t xml:space="preserve">El stand se come, de cada venta</t>
  </si>
  <si>
    <t xml:space="preserve">SI VENDÉS MÁS O MENOS</t>
  </si>
  <si>
    <t xml:space="preserve">Piezas vendidas</t>
  </si>
  <si>
    <t xml:space="preserve">Facturación</t>
  </si>
  <si>
    <t xml:space="preserve">Te queda</t>
  </si>
  <si>
    <t xml:space="preserve">Resultado</t>
  </si>
  <si>
    <t xml:space="preserve">El stand se lleva</t>
  </si>
  <si>
    <t xml:space="preserve">punto de equilibrio</t>
  </si>
  <si>
    <t xml:space="preserve">Cómo se usa</t>
  </si>
  <si>
    <t xml:space="preserve">• Completá solo las celdas amarillas. Todo lo demás se calcula solo.</t>
  </si>
  <si>
    <t xml:space="preserve">• El precio y el costo promedio salen de tu hoja Costos: promediá lo que pensás llevar a la feria.</t>
  </si>
  <si>
    <t xml:space="preserve">• "El stand se come, de cada venta" es la parte de cada precio que se va en pagar la mesa.</t>
  </si>
  <si>
    <t xml:space="preserve">• Cuanto más vendas, más chica es esa parte: es el mismo costo fijo repartido entre más piezas.</t>
  </si>
  <si>
    <t xml:space="preserve">Fuente del precio del stand: mensaje de la organización, MESA $600.000 IVA incluido por los dos días.</t>
  </si>
  <si>
    <t xml:space="preserve">1. PACKAGING - CAJA BOLSA</t>
  </si>
  <si>
    <t xml:space="preserve">CONTRAS </t>
  </si>
  <si>
    <t xml:space="preserve">CAJA BOLSA</t>
  </si>
  <si>
    <t xml:space="preserve">FARINAPACK</t>
  </si>
  <si>
    <t xml:space="preserve">El problema es que tendria que comprar 200 unidades que me da un total de $368.000</t>
  </si>
  <si>
    <t xml:space="preserve">Ideas Argentinas. Tarjeta 8x5 cm horizontal, ilustración 300 gr, frente y dorso. Frente con logo, dorso manteca liso. Entran 30 por hoja A3+ (31x46 cm). 2 impresiones = $2.300 + IVA = 60 tarjetas. Mitad plata 925, mitad acero blanco. Falta confirmar el corte con guillotina (piden mínimo 10 impresiones).</t>
  </si>
  <si>
    <t xml:space="preserve">2. PACKAGING CAJA + BOLSA LIENZO</t>
  </si>
  <si>
    <t xml:space="preserve">En Oink salen $17.100 por 240u ($71 c/u). En Studio Imagene $16.000 por 300u en vinilo, con muestra sin cargo.</t>
  </si>
  <si>
    <t xml:space="preserve">Oink cobra $23.000 por 100 unidades. Studio Imagene no trabaja cartón.</t>
  </si>
  <si>
    <t xml:space="preserve">- No encuentro bolsas de cartulina blancas baratas </t>
  </si>
  <si>
    <t xml:space="preserve">Caja kraft chica</t>
  </si>
  <si>
    <t xml:space="preserve">Caja en 1 pieza 7x7x2 cm, color kraft (marrón), cartulina kraft 280 gr, autoarmable. Mínimo de compra 10 unidades. Precio para 50 unidades, IVA incluido ($487/u).</t>
  </si>
  <si>
    <t xml:space="preserve">Precio con descuento ya aplicado (antes $27.071, ahora $24.364). También existe en cartulina blanca Triplex 275 gr al mismo precio.</t>
  </si>
  <si>
    <t xml:space="preserve">- No se si quedara muy vacio el anillo directo en ña bolsa de lienzo que mide 9x10</t>
  </si>
  <si>
    <t xml:space="preserve">bolsa lienzo</t>
  </si>
  <si>
    <t xml:space="preserve">Bolsa de ahorque N1, 9x10 cm, lisa (sin estampar), pack x50.</t>
  </si>
  <si>
    <t xml:space="preserve">3. PACKAGING CARTÓN PERSONALIZADO + BOLSA LIENZO</t>
  </si>
  <si>
    <t xml:space="preserve">proceso</t>
  </si>
  <si>
    <t xml:space="preserve">Cartón personalizado</t>
  </si>
  <si>
    <t xml:space="preserve">Sticker cerrar caja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</si>
</sst>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;&quot;($&quot;#,##0\);\-"/>
    <numFmt numFmtId="166" formatCode="#,##0;\(#,##0\);\-"/>
    <numFmt numFmtId="167" formatCode="0.0\x"/>
    <numFmt numFmtId="168" formatCode="0%"/>
    <numFmt numFmtId="169" formatCode="0%;\(0%\);\-"/>
    <numFmt numFmtId="170" formatCode="dd/mm/yyyy"/>
    <numFmt numFmtId="171" formatCode="\$#,##0"/>
    <numFmt numFmtId="172" formatCode="General"/>
    <numFmt numFmtId="173" formatCode="0"/>
    <numFmt numFmtId="174" formatCode="0.0%"/>
    <numFmt numFmtId="175" formatCode="#,##0"/>
    <numFmt numFmtId="176" formatCode="0.0"/>
    <numFmt numFmtId="177" formatCode="\$#,##0;[RED]&quot;($&quot;#,##0\)"/>
  </numFmts>
  <fonts count="46">
    <font>
      <sz val="11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1"/>
      <color theme="1"/>
      <name val="Calibri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9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u val="single"/>
      <sz val="10"/>
      <color rgb="FF000000"/>
      <name val="Arial"/>
      <family val="0"/>
      <charset val="1"/>
    </font>
    <font>
      <b val="true"/>
      <sz val="14"/>
      <color rgb="FF331C14"/>
      <name val="Arial"/>
      <family val="0"/>
      <charset val="1"/>
    </font>
    <font>
      <i val="true"/>
      <sz val="9"/>
      <color rgb="FF6B5D54"/>
      <name val="Arial"/>
      <family val="0"/>
      <charset val="1"/>
    </font>
    <font>
      <b val="true"/>
      <sz val="10"/>
      <color rgb="FFE3CDBD"/>
      <name val="Arial"/>
      <family val="0"/>
      <charset val="1"/>
    </font>
    <font>
      <sz val="10"/>
      <color rgb="FF331C1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8"/>
      <color rgb="FF6B5D54"/>
      <name val="Arial"/>
      <family val="0"/>
      <charset val="1"/>
    </font>
    <font>
      <b val="true"/>
      <sz val="12"/>
      <color rgb="FF331C14"/>
      <name val="Arial"/>
      <family val="0"/>
      <charset val="1"/>
    </font>
    <font>
      <sz val="11"/>
      <color rgb="FF000000"/>
      <name val="Var(--font-mono)"/>
      <family val="0"/>
      <charset val="1"/>
    </font>
    <font>
      <sz val="7"/>
      <color theme="1"/>
      <name val="Arial"/>
      <family val="0"/>
      <charset val="1"/>
    </font>
    <font>
      <sz val="5"/>
      <color theme="1"/>
      <name val="Arial"/>
      <family val="0"/>
      <charset val="1"/>
    </font>
    <font>
      <sz val="4"/>
      <color theme="1"/>
      <name val="Arial"/>
      <family val="0"/>
      <charset val="1"/>
    </font>
    <font>
      <sz val="11"/>
      <color rgb="FFEAECF0"/>
      <name val="Var(--font-mono)"/>
      <family val="0"/>
      <charset val="1"/>
    </font>
    <font>
      <b val="true"/>
      <sz val="9"/>
      <color rgb="FFA8613F"/>
      <name val="Arial"/>
      <family val="0"/>
      <charset val="1"/>
    </font>
    <font>
      <b val="true"/>
      <sz val="10"/>
      <color rgb="FF331C14"/>
      <name val="Arial"/>
      <family val="0"/>
      <charset val="1"/>
    </font>
    <font>
      <sz val="9"/>
      <color rgb="FF6B5D54"/>
      <name val="Arial"/>
      <family val="0"/>
      <charset val="1"/>
    </font>
    <font>
      <b val="true"/>
      <sz val="13"/>
      <color rgb="FF331C14"/>
      <name val="Arial"/>
      <family val="0"/>
      <charset val="1"/>
    </font>
    <font>
      <i val="true"/>
      <sz val="9"/>
      <color rgb="FF6B4A3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5"/>
      <color theme="1"/>
      <name val="Arial"/>
      <family val="0"/>
      <charset val="1"/>
    </font>
    <font>
      <i val="true"/>
      <sz val="11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9"/>
      <color theme="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color theme="1"/>
      <name val="Arial"/>
      <family val="0"/>
      <charset val="1"/>
    </font>
    <font>
      <i val="true"/>
      <sz val="10"/>
      <color theme="1"/>
      <name val="Arial"/>
      <family val="0"/>
      <charset val="1"/>
    </font>
    <font>
      <b val="true"/>
      <sz val="11"/>
      <color theme="1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4CCCC"/>
        <bgColor rgb="FFE3CDBD"/>
      </patternFill>
    </fill>
    <fill>
      <patternFill patternType="solid">
        <fgColor rgb="FFF0E0E0"/>
        <bgColor rgb="FFEAECF0"/>
      </patternFill>
    </fill>
    <fill>
      <patternFill patternType="solid">
        <fgColor rgb="FFFFF2CC"/>
        <bgColor rgb="FFFFF9C4"/>
      </patternFill>
    </fill>
    <fill>
      <patternFill patternType="solid">
        <fgColor rgb="FFE2EFDA"/>
        <bgColor rgb="FFEAECF0"/>
      </patternFill>
    </fill>
    <fill>
      <patternFill patternType="solid">
        <fgColor rgb="FF331C14"/>
        <bgColor rgb="FF3F3F3F"/>
      </patternFill>
    </fill>
    <fill>
      <patternFill patternType="solid">
        <fgColor rgb="FFFFF9C4"/>
        <bgColor rgb="FFFFF2CC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2F2F2"/>
      </patternFill>
    </fill>
    <fill>
      <patternFill patternType="solid">
        <fgColor rgb="FFF6EFE8"/>
        <bgColor rgb="FFF2F2F2"/>
      </patternFill>
    </fill>
    <fill>
      <patternFill patternType="solid">
        <fgColor rgb="FF3F3F3F"/>
        <bgColor rgb="FF1F3864"/>
      </patternFill>
    </fill>
    <fill>
      <patternFill patternType="solid">
        <fgColor rgb="FFF2F2F2"/>
        <bgColor rgb="FFF6EFE8"/>
      </patternFill>
    </fill>
    <fill>
      <patternFill patternType="solid">
        <fgColor rgb="FFF26464"/>
        <bgColor rgb="FFFF66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hair">
        <color rgb="FFE0D2C2"/>
      </bottom>
      <diagonal/>
    </border>
    <border diagonalUp="false" diagonalDown="false">
      <left/>
      <right/>
      <top/>
      <bottom style="thin">
        <color rgb="FFBFA894"/>
      </bottom>
      <diagonal/>
    </border>
    <border diagonalUp="false" diagonalDown="false">
      <left style="thin"/>
      <right style="thin">
        <color rgb="FFB7B7B7"/>
      </right>
      <top/>
      <bottom/>
      <diagonal/>
    </border>
    <border diagonalUp="false" diagonalDown="false">
      <left style="thin">
        <color rgb="FFB7B7B7"/>
      </left>
      <right style="thin">
        <color rgb="FFB7B7B7"/>
      </right>
      <top/>
      <bottom/>
      <diagonal/>
    </border>
    <border diagonalUp="false" diagonalDown="false">
      <left style="thin">
        <color rgb="FFB7B7B7"/>
      </left>
      <right style="thin"/>
      <top/>
      <bottom/>
      <diagonal/>
    </border>
    <border diagonalUp="false" diagonalDown="false">
      <left style="thin">
        <color rgb="FFD9CFC6"/>
      </left>
      <right style="thin">
        <color rgb="FFD9CFC6"/>
      </right>
      <top style="thin">
        <color rgb="FFD9CFC6"/>
      </top>
      <bottom style="thin">
        <color rgb="FFD9CFC6"/>
      </bottom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6" fillId="6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1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1" fillId="1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4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" fillId="4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1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1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2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2" fillId="1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2" fillId="1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11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5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2" fillId="1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2" fillId="1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2" fillId="1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2" fillId="1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6EFE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0D2C2"/>
      <rgbColor rgb="FF6B4A3A"/>
      <rgbColor rgb="FFFFF9C4"/>
      <rgbColor rgb="FFEAECF0"/>
      <rgbColor rgb="FF660066"/>
      <rgbColor rgb="FFF26464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B7B7B7"/>
      <rgbColor rgb="FFE3CDBD"/>
      <rgbColor rgb="FFD9CFC6"/>
      <rgbColor rgb="FFF4CCCC"/>
      <rgbColor rgb="FF3366FF"/>
      <rgbColor rgb="FF33CCCC"/>
      <rgbColor rgb="FF99CC00"/>
      <rgbColor rgb="FFF0E0E0"/>
      <rgbColor rgb="FFFF9900"/>
      <rgbColor rgb="FFFF6600"/>
      <rgbColor rgb="FF6B5D54"/>
      <rgbColor rgb="FFBFA894"/>
      <rgbColor rgb="FF1F3864"/>
      <rgbColor rgb="FF339966"/>
      <rgbColor rgb="FF003300"/>
      <rgbColor rgb="FF331C14"/>
      <rgbColor rgb="FF993300"/>
      <rgbColor rgb="FFA8613F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chajoyaspormayor.com.ar/tienda/cubanos-n0/" TargetMode="External"/><Relationship Id="rId2" Type="http://schemas.openxmlformats.org/officeDocument/2006/relationships/hyperlink" Target="https://dochajoyaspormayor.com.ar/tienda/cubanos-n1/" TargetMode="External"/><Relationship Id="rId3" Type="http://schemas.openxmlformats.org/officeDocument/2006/relationships/hyperlink" Target="https://dochajoyaspormayor.com.ar/tienda/cubanos-n2/" TargetMode="External"/><Relationship Id="rId4" Type="http://schemas.openxmlformats.org/officeDocument/2006/relationships/hyperlink" Target="https://dochajoyaspormayor.com.ar/tienda/cubanos-n3/" TargetMode="External"/><Relationship Id="rId5" Type="http://schemas.openxmlformats.org/officeDocument/2006/relationships/hyperlink" Target="https://dochajoyaspormayor.com.ar/tienda/cubanos-n4/" TargetMode="External"/><Relationship Id="rId6" Type="http://schemas.openxmlformats.org/officeDocument/2006/relationships/hyperlink" Target="https://dochajoyaspormayor.com.ar/tienda/mini-susanita-2/" TargetMode="External"/><Relationship Id="rId7" Type="http://schemas.openxmlformats.org/officeDocument/2006/relationships/hyperlink" Target="https://dochajoyaspormayor.com.ar/tienda/mini-susanita-2/" TargetMode="External"/><Relationship Id="rId8" Type="http://schemas.openxmlformats.org/officeDocument/2006/relationships/hyperlink" Target="https://dochajoyaspormayor.com.ar/tienda/cuadrado-cubic/" TargetMode="External"/><Relationship Id="rId9" Type="http://schemas.openxmlformats.org/officeDocument/2006/relationships/hyperlink" Target="https://dochajoyaspormayor.com.ar/tienda/circulo-2/" TargetMode="External"/><Relationship Id="rId10" Type="http://schemas.openxmlformats.org/officeDocument/2006/relationships/hyperlink" Target="https://dochajoyaspormayor.com.ar/tienda/cinta-v/" TargetMode="External"/><Relationship Id="rId11" Type="http://schemas.openxmlformats.org/officeDocument/2006/relationships/hyperlink" Target="https://dochajoyaspormayor.com.ar/tienda/john-caladito/" TargetMode="External"/><Relationship Id="rId12" Type="http://schemas.openxmlformats.org/officeDocument/2006/relationships/hyperlink" Target="https://dochajoyaspormayor.com.ar/tienda/click-bolitas/" TargetMode="External"/><Relationship Id="rId13" Type="http://schemas.openxmlformats.org/officeDocument/2006/relationships/hyperlink" Target="https://dochajoyaspormayor.com.ar/tienda/bolitas-en-v/" TargetMode="External"/><Relationship Id="rId14" Type="http://schemas.openxmlformats.org/officeDocument/2006/relationships/hyperlink" Target="https://dochajoyaspormayor.com.ar/tienda/en-v-bombe/" TargetMode="External"/><Relationship Id="rId15" Type="http://schemas.openxmlformats.org/officeDocument/2006/relationships/hyperlink" Target="https://dochajoyaspormayor.com.ar/tienda/carterita-snail/" TargetMode="External"/><Relationship Id="rId16" Type="http://schemas.openxmlformats.org/officeDocument/2006/relationships/hyperlink" Target="https://dochajoyaspormayor.com.ar/tienda/carteritas-torce/" TargetMode="External"/><Relationship Id="rId17" Type="http://schemas.openxmlformats.org/officeDocument/2006/relationships/hyperlink" Target="https://925arg.com/product.php?id=18369&amp;iddet=34487" TargetMode="External"/><Relationship Id="rId18" Type="http://schemas.openxmlformats.org/officeDocument/2006/relationships/hyperlink" Target="https://925arg.com/product.php?id=46433&amp;iddet=76647" TargetMode="External"/><Relationship Id="rId19" Type="http://schemas.openxmlformats.org/officeDocument/2006/relationships/hyperlink" Target="https://925arg.com/product.php?id=52954&amp;iddet=86020" TargetMode="External"/><Relationship Id="rId20" Type="http://schemas.openxmlformats.org/officeDocument/2006/relationships/hyperlink" Target="https://925arg.com/product.php?id=43711&amp;iddet=72660" TargetMode="External"/><Relationship Id="rId21" Type="http://schemas.openxmlformats.org/officeDocument/2006/relationships/hyperlink" Target="https://925arg.com/product.php?id=50175&amp;iddet=81976" TargetMode="External"/><Relationship Id="rId22" Type="http://schemas.openxmlformats.org/officeDocument/2006/relationships/hyperlink" Target="https://925arg.com/product.php?id=21231&amp;iddet=34524" TargetMode="External"/><Relationship Id="rId23" Type="http://schemas.openxmlformats.org/officeDocument/2006/relationships/hyperlink" Target="https://925arg.com/product.php?id=1476&amp;iddet=1827" TargetMode="External"/><Relationship Id="rId24" Type="http://schemas.openxmlformats.org/officeDocument/2006/relationships/hyperlink" Target="https://925arg.com/product.php?id=46642&amp;iddet=76952" TargetMode="External"/><Relationship Id="rId25" Type="http://schemas.openxmlformats.org/officeDocument/2006/relationships/hyperlink" Target="https://925arg.com/product.php?id=13722&amp;iddet=19768" TargetMode="External"/><Relationship Id="rId26" Type="http://schemas.openxmlformats.org/officeDocument/2006/relationships/hyperlink" Target="https://catajewelsmayorista.com/products/anillo-gildy?variant=53871300247920" TargetMode="External"/><Relationship Id="rId27" Type="http://schemas.openxmlformats.org/officeDocument/2006/relationships/hyperlink" Target="https://catajewelsmayorista.com/products/anillo-eden-gold?variant=53793671709040&amp;sso=silent" TargetMode="External"/><Relationship Id="rId28" Type="http://schemas.openxmlformats.org/officeDocument/2006/relationships/hyperlink" Target="https://catajewelsmayorista.com/products/anillo-poppy-silver?variant=52561699406192" TargetMode="External"/><Relationship Id="rId29" Type="http://schemas.openxmlformats.org/officeDocument/2006/relationships/hyperlink" Target="https://catajewelsmayorista.com/products/aros-boldie-gold" TargetMode="External"/><Relationship Id="rId30" Type="http://schemas.openxmlformats.org/officeDocument/2006/relationships/hyperlink" Target="https://catajewelsmayorista.com/products/aros-rosella-gold?variant=52784303604080" TargetMode="External"/><Relationship Id="rId31" Type="http://schemas.openxmlformats.org/officeDocument/2006/relationships/hyperlink" Target="https://catajewelsmayorista.com/products/aros-mediterraneo?variant=52784305668464" TargetMode="External"/><Relationship Id="rId32" Type="http://schemas.openxmlformats.org/officeDocument/2006/relationships/hyperlink" Target="https://catajewelsmayorista.com/products/aros-towers?variant=52784305045872" TargetMode="External"/><Relationship Id="rId33" Type="http://schemas.openxmlformats.org/officeDocument/2006/relationships/hyperlink" Target="https://catajewelsmayorista.com/products/collar-marinero-silver-heart?variant=52721739399536" TargetMode="External"/><Relationship Id="rId34" Type="http://schemas.openxmlformats.org/officeDocument/2006/relationships/hyperlink" Target="https://925arg.com/product.php?id=29355&amp;iddet=48085" TargetMode="External"/><Relationship Id="rId35" Type="http://schemas.openxmlformats.org/officeDocument/2006/relationships/hyperlink" Target="https://925arg.com/product.php?id=19594&amp;iddet=29783" TargetMode="External"/><Relationship Id="rId36" Type="http://schemas.openxmlformats.org/officeDocument/2006/relationships/hyperlink" Target="https://925arg.com/product.php?id=6867&amp;iddet=8612" TargetMode="External"/><Relationship Id="rId37" Type="http://schemas.openxmlformats.org/officeDocument/2006/relationships/hyperlink" Target="https://925arg.com/product.php?id=28569&amp;iddet=44953" TargetMode="External"/><Relationship Id="rId38" Type="http://schemas.openxmlformats.org/officeDocument/2006/relationships/hyperlink" Target="https://925arg.com/product.php?id=19170&amp;iddet=28984" TargetMode="External"/><Relationship Id="rId39" Type="http://schemas.openxmlformats.org/officeDocument/2006/relationships/hyperlink" Target="https://925arg.com/product.php?id=46606&amp;iddet=76912" TargetMode="External"/><Relationship Id="rId40" Type="http://schemas.openxmlformats.org/officeDocument/2006/relationships/hyperlink" Target="https://925arg.com/product.php?id=46606&amp;iddet=76912" TargetMode="External"/><Relationship Id="rId41" Type="http://schemas.openxmlformats.org/officeDocument/2006/relationships/hyperlink" Target="https://catajewelsmayorista.com/products/ar000174?variant=52561709597040" TargetMode="External"/><Relationship Id="rId42" Type="http://schemas.openxmlformats.org/officeDocument/2006/relationships/hyperlink" Target="https://catajewelsmayorista.com/products/coll000070?variant=52561724211568" TargetMode="External"/><Relationship Id="rId43" Type="http://schemas.openxmlformats.org/officeDocument/2006/relationships/hyperlink" Target="https://catajewelsmayorista.com/products/an00100?variant=52561725194608" TargetMode="External"/><Relationship Id="rId44" Type="http://schemas.openxmlformats.org/officeDocument/2006/relationships/hyperlink" Target="https://catajewelsmayorista.com/products/anillo-troll-silver?variant=54232429298032" TargetMode="External"/><Relationship Id="rId45" Type="http://schemas.openxmlformats.org/officeDocument/2006/relationships/hyperlink" Target="https://catajewelsmayorista.com/products/pulsera-bolitas-gold?variant=52721740644720" TargetMode="External"/><Relationship Id="rId46" Type="http://schemas.openxmlformats.org/officeDocument/2006/relationships/hyperlink" Target="https://catajewelsmayorista.com/products/collar-corazon-petite-silver?variant=5423242841329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C2" activeCellId="0" sqref="C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2.76"/>
    <col collapsed="false" customWidth="true" hidden="false" outlineLevel="0" max="2" min="2" style="0" width="18.13"/>
    <col collapsed="false" customWidth="true" hidden="false" outlineLevel="0" max="3" min="3" style="0" width="12.76"/>
    <col collapsed="false" customWidth="true" hidden="false" outlineLevel="0" max="4" min="4" style="0" width="14"/>
    <col collapsed="false" customWidth="true" hidden="false" outlineLevel="0" max="5" min="5" style="0" width="47.25"/>
    <col collapsed="false" customWidth="true" hidden="false" outlineLevel="0" max="6" min="6" style="0" width="29.75"/>
    <col collapsed="false" customWidth="true" hidden="false" outlineLevel="0" max="9" min="7" style="0" width="9.63"/>
    <col collapsed="false" customWidth="true" hidden="false" outlineLevel="0" max="12" min="10" style="0" width="12.25"/>
    <col collapsed="false" customWidth="true" hidden="false" outlineLevel="0" max="13" min="13" style="0" width="8.75"/>
  </cols>
  <sheetData>
    <row r="1" customFormat="false" ht="17.2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1.7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true" outlineLevel="0" collapsed="false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23.2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6" t="s">
        <v>7</v>
      </c>
      <c r="F5" s="6" t="s">
        <v>8</v>
      </c>
      <c r="G5" s="2"/>
      <c r="H5" s="2"/>
      <c r="I5" s="2"/>
      <c r="J5" s="2"/>
      <c r="K5" s="2"/>
      <c r="L5" s="2"/>
      <c r="M5" s="2"/>
      <c r="N5" s="2"/>
    </row>
    <row r="6" customFormat="false" ht="57" hidden="false" customHeight="true" outlineLevel="0" collapsed="false">
      <c r="A6" s="7" t="s">
        <v>9</v>
      </c>
      <c r="B6" s="8" t="n">
        <v>18000</v>
      </c>
      <c r="C6" s="9" t="n">
        <v>330</v>
      </c>
      <c r="D6" s="10" t="n">
        <f aca="false">IFERROR(B6/C6,0)</f>
        <v>54.5454545454546</v>
      </c>
      <c r="E6" s="11" t="s">
        <v>10</v>
      </c>
      <c r="F6" s="11" t="s">
        <v>11</v>
      </c>
      <c r="G6" s="2"/>
      <c r="H6" s="2"/>
      <c r="I6" s="2"/>
      <c r="J6" s="2"/>
      <c r="K6" s="2"/>
      <c r="L6" s="2"/>
      <c r="M6" s="2"/>
      <c r="N6" s="2"/>
    </row>
    <row r="7" customFormat="false" ht="45.75" hidden="false" customHeight="true" outlineLevel="0" collapsed="false">
      <c r="A7" s="7" t="s">
        <v>12</v>
      </c>
      <c r="B7" s="8" t="n">
        <v>3450</v>
      </c>
      <c r="C7" s="9" t="n">
        <v>60</v>
      </c>
      <c r="D7" s="10" t="n">
        <f aca="false">IFERROR(B7/C7,0)</f>
        <v>57.5</v>
      </c>
      <c r="E7" s="11" t="s">
        <v>13</v>
      </c>
      <c r="F7" s="11" t="s">
        <v>14</v>
      </c>
      <c r="G7" s="2"/>
      <c r="H7" s="2"/>
      <c r="I7" s="2"/>
      <c r="J7" s="2"/>
      <c r="K7" s="2"/>
      <c r="L7" s="2"/>
      <c r="M7" s="2"/>
      <c r="N7" s="2"/>
    </row>
    <row r="8" customFormat="false" ht="15" hidden="false" customHeight="true" outlineLevel="0" collapsed="false">
      <c r="A8" s="12" t="s">
        <v>15</v>
      </c>
      <c r="B8" s="8" t="n">
        <v>1600</v>
      </c>
      <c r="C8" s="9" t="n">
        <v>10</v>
      </c>
      <c r="D8" s="10" t="n">
        <f aca="false">IFERROR(B8/C8,0)</f>
        <v>160</v>
      </c>
      <c r="E8" s="11"/>
      <c r="F8" s="11" t="s">
        <v>16</v>
      </c>
      <c r="G8" s="2"/>
      <c r="H8" s="2"/>
      <c r="I8" s="2"/>
      <c r="J8" s="2"/>
      <c r="K8" s="2"/>
      <c r="L8" s="2"/>
      <c r="M8" s="2"/>
      <c r="N8" s="2"/>
    </row>
    <row r="9" customFormat="false" ht="23.25" hidden="false" customHeight="true" outlineLevel="0" collapsed="false">
      <c r="A9" s="12" t="s">
        <v>17</v>
      </c>
      <c r="B9" s="8" t="n">
        <v>18718</v>
      </c>
      <c r="C9" s="9" t="n">
        <v>30</v>
      </c>
      <c r="D9" s="10" t="n">
        <f aca="false">IFERROR(B9/C9,0)</f>
        <v>623.933333333333</v>
      </c>
      <c r="E9" s="11"/>
      <c r="F9" s="11" t="s">
        <v>18</v>
      </c>
      <c r="G9" s="2"/>
      <c r="H9" s="2"/>
      <c r="I9" s="2"/>
      <c r="J9" s="2"/>
      <c r="K9" s="2"/>
      <c r="L9" s="2"/>
      <c r="M9" s="2"/>
      <c r="N9" s="2"/>
    </row>
    <row r="10" customFormat="false" ht="15" hidden="false" customHeight="true" outlineLevel="0" collapsed="false">
      <c r="A10" s="12" t="s">
        <v>19</v>
      </c>
      <c r="B10" s="8" t="n">
        <v>18000</v>
      </c>
      <c r="C10" s="9" t="n">
        <v>130</v>
      </c>
      <c r="D10" s="10" t="n">
        <f aca="false">IFERROR(B10/C10,0)</f>
        <v>138.461538461538</v>
      </c>
      <c r="E10" s="11"/>
      <c r="F10" s="11" t="s">
        <v>20</v>
      </c>
      <c r="G10" s="2"/>
      <c r="H10" s="2"/>
      <c r="I10" s="2"/>
      <c r="J10" s="2"/>
      <c r="K10" s="2"/>
      <c r="L10" s="2"/>
      <c r="M10" s="2"/>
      <c r="N10" s="2"/>
    </row>
    <row r="11" customFormat="false" ht="15" hidden="false" customHeight="true" outlineLevel="0" collapsed="false">
      <c r="A11" s="12" t="s">
        <v>21</v>
      </c>
      <c r="B11" s="8" t="n">
        <v>3220</v>
      </c>
      <c r="C11" s="9" t="n">
        <v>100</v>
      </c>
      <c r="D11" s="10" t="n">
        <f aca="false">IFERROR(B11/C11,0)</f>
        <v>32.2</v>
      </c>
      <c r="E11" s="11" t="s">
        <v>22</v>
      </c>
      <c r="F11" s="11" t="s">
        <v>23</v>
      </c>
      <c r="G11" s="2"/>
      <c r="H11" s="2"/>
      <c r="I11" s="2"/>
      <c r="J11" s="2"/>
      <c r="K11" s="2"/>
      <c r="L11" s="2"/>
      <c r="M11" s="2"/>
      <c r="N11" s="2"/>
    </row>
    <row r="12" customFormat="false" ht="23.25" hidden="false" customHeight="true" outlineLevel="0" collapsed="false">
      <c r="A12" s="12" t="s">
        <v>24</v>
      </c>
      <c r="B12" s="8" t="n">
        <v>25000</v>
      </c>
      <c r="C12" s="9" t="n">
        <v>100</v>
      </c>
      <c r="D12" s="10" t="n">
        <f aca="false">IFERROR(B12/C12,0)</f>
        <v>250</v>
      </c>
      <c r="E12" s="11" t="s">
        <v>25</v>
      </c>
      <c r="F12" s="11"/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true" outlineLevel="0" collapsed="false">
      <c r="A13" s="13" t="s">
        <v>26</v>
      </c>
      <c r="B13" s="14"/>
      <c r="C13" s="15"/>
      <c r="D13" s="16" t="n">
        <f aca="false">SUM(D6:D12)</f>
        <v>1316.64032634033</v>
      </c>
      <c r="E13" s="16"/>
      <c r="F13" s="16"/>
      <c r="G13" s="2"/>
      <c r="H13" s="2"/>
      <c r="I13" s="2"/>
      <c r="J13" s="2"/>
      <c r="K13" s="2"/>
      <c r="L13" s="2"/>
      <c r="M13" s="2"/>
      <c r="N13" s="2"/>
    </row>
    <row r="14" customFormat="false" ht="15" hidden="false" customHeight="true" outlineLevel="0" collapsed="false">
      <c r="A14" s="2"/>
      <c r="B14" s="2"/>
      <c r="C14" s="2"/>
      <c r="D14" s="17"/>
      <c r="E14" s="17"/>
      <c r="F14" s="17"/>
      <c r="G14" s="2"/>
      <c r="H14" s="2"/>
      <c r="I14" s="2"/>
      <c r="J14" s="2"/>
      <c r="K14" s="2"/>
      <c r="L14" s="2"/>
      <c r="M14" s="2"/>
      <c r="N14" s="2"/>
    </row>
    <row r="15" customFormat="false" ht="15" hidden="false" customHeight="true" outlineLevel="0" collapsed="false">
      <c r="A15" s="18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1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5" hidden="false" customHeight="true" outlineLevel="0" collapsed="false">
      <c r="A17" s="4" t="s">
        <v>27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53.25" hidden="false" customHeight="true" outlineLevel="0" collapsed="false">
      <c r="A18" s="19" t="s">
        <v>28</v>
      </c>
      <c r="B18" s="20" t="n">
        <v>2</v>
      </c>
      <c r="C18" s="3" t="s">
        <v>29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32.25" hidden="false" customHeight="true" outlineLevel="0" collapsed="false">
      <c r="A19" s="19" t="s">
        <v>30</v>
      </c>
      <c r="B19" s="21" t="n">
        <v>0</v>
      </c>
      <c r="C19" s="3" t="s">
        <v>31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5.75" hidden="false" customHeight="true" outlineLevel="0" collapsed="false">
      <c r="A21" s="4" t="s">
        <v>32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31.5" hidden="false" customHeight="true" outlineLevel="0" collapsed="false">
      <c r="A22" s="5" t="s">
        <v>33</v>
      </c>
      <c r="B22" s="5" t="s">
        <v>34</v>
      </c>
      <c r="C22" s="5" t="s">
        <v>35</v>
      </c>
      <c r="D22" s="5" t="s">
        <v>36</v>
      </c>
      <c r="E22" s="5" t="s">
        <v>37</v>
      </c>
      <c r="F22" s="5" t="s">
        <v>38</v>
      </c>
      <c r="G22" s="5" t="s">
        <v>39</v>
      </c>
      <c r="H22" s="5" t="s">
        <v>40</v>
      </c>
      <c r="I22" s="5" t="s">
        <v>41</v>
      </c>
      <c r="J22" s="5" t="s">
        <v>42</v>
      </c>
      <c r="K22" s="5" t="s">
        <v>43</v>
      </c>
      <c r="L22" s="5" t="s">
        <v>44</v>
      </c>
      <c r="M22" s="5" t="s">
        <v>45</v>
      </c>
      <c r="N22" s="2"/>
    </row>
    <row r="23" customFormat="false" ht="15.75" hidden="false" customHeight="true" outlineLevel="0" collapsed="false">
      <c r="A23" s="22" t="s">
        <v>46</v>
      </c>
      <c r="B23" s="23" t="s">
        <v>47</v>
      </c>
      <c r="C23" s="23" t="s">
        <v>48</v>
      </c>
      <c r="D23" s="23" t="s">
        <v>49</v>
      </c>
      <c r="E23" s="24" t="s">
        <v>50</v>
      </c>
      <c r="F23" s="25" t="n">
        <v>2845</v>
      </c>
      <c r="G23" s="26" t="n">
        <v>0.1</v>
      </c>
      <c r="H23" s="27" t="n">
        <f aca="false">IF($A23="","",$D$13)</f>
        <v>1316.64032634033</v>
      </c>
      <c r="I23" s="28" t="n">
        <f aca="false">IF($A23="","",N(F23)*(1-N(G23))+N(H23))</f>
        <v>3877.14032634033</v>
      </c>
      <c r="J23" s="28" t="n">
        <f aca="false">IF($A23="","",CEILING(I23*$B$18,500))</f>
        <v>8000</v>
      </c>
      <c r="K23" s="29" t="n">
        <v>7000</v>
      </c>
      <c r="L23" s="28" t="n">
        <f aca="false">IF(OR($A23="",N(K23)=0),"",K23-K23*$B$19-N(I23))</f>
        <v>3122.85967365967</v>
      </c>
      <c r="M23" s="30" t="n">
        <f aca="false">IF(OR($A23="",N(K23)=0),"",N(L23)/K23)</f>
        <v>0.446122810522811</v>
      </c>
      <c r="N23" s="3" t="s">
        <v>51</v>
      </c>
    </row>
    <row r="24" customFormat="false" ht="15.75" hidden="false" customHeight="true" outlineLevel="0" collapsed="false">
      <c r="A24" s="22" t="s">
        <v>52</v>
      </c>
      <c r="B24" s="23" t="s">
        <v>47</v>
      </c>
      <c r="C24" s="23" t="s">
        <v>48</v>
      </c>
      <c r="D24" s="19" t="s">
        <v>49</v>
      </c>
      <c r="E24" s="24" t="s">
        <v>53</v>
      </c>
      <c r="F24" s="25" t="n">
        <v>3405</v>
      </c>
      <c r="G24" s="26" t="n">
        <v>0.1</v>
      </c>
      <c r="H24" s="27" t="n">
        <f aca="false">IF($A24="","",$D$13)</f>
        <v>1316.64032634033</v>
      </c>
      <c r="I24" s="28" t="n">
        <f aca="false">IF($A24="","",N(F24)*(1-N(G24))+N(H24))</f>
        <v>4381.14032634033</v>
      </c>
      <c r="J24" s="28" t="n">
        <f aca="false">IF($A24="","",CEILING(I24*$B$18,500))</f>
        <v>9000</v>
      </c>
      <c r="K24" s="29" t="n">
        <v>7500</v>
      </c>
      <c r="L24" s="28" t="n">
        <f aca="false">IF(OR($A24="",N(K24)=0),"",K24-K24*$B$19-N(I24))</f>
        <v>3118.85967365967</v>
      </c>
      <c r="M24" s="30" t="n">
        <f aca="false">IF(OR($A24="",N(K24)=0),"",N(L24)/K24)</f>
        <v>0.415847956487956</v>
      </c>
      <c r="N24" s="2"/>
    </row>
    <row r="25" customFormat="false" ht="15.75" hidden="false" customHeight="true" outlineLevel="0" collapsed="false">
      <c r="A25" s="22" t="s">
        <v>54</v>
      </c>
      <c r="B25" s="23" t="s">
        <v>47</v>
      </c>
      <c r="C25" s="23" t="s">
        <v>48</v>
      </c>
      <c r="D25" s="19" t="s">
        <v>49</v>
      </c>
      <c r="E25" s="24" t="s">
        <v>55</v>
      </c>
      <c r="F25" s="25" t="n">
        <v>3965</v>
      </c>
      <c r="G25" s="26" t="n">
        <v>0.1</v>
      </c>
      <c r="H25" s="27" t="n">
        <f aca="false">IF($A25="","",$D$13)</f>
        <v>1316.64032634033</v>
      </c>
      <c r="I25" s="28" t="n">
        <f aca="false">IF($A25="","",N(F25)*(1-N(G25))+N(H25))</f>
        <v>4885.14032634033</v>
      </c>
      <c r="J25" s="28" t="n">
        <f aca="false">IF($A25="","",CEILING(I25*$B$18,500))</f>
        <v>10000</v>
      </c>
      <c r="K25" s="29" t="n">
        <v>8000</v>
      </c>
      <c r="L25" s="28" t="n">
        <f aca="false">IF(OR($A25="",N(K25)=0),"",K25-K25*$B$19-N(I25))</f>
        <v>3114.85967365967</v>
      </c>
      <c r="M25" s="30" t="n">
        <f aca="false">IF(OR($A25="",N(K25)=0),"",N(L25)/K25)</f>
        <v>0.389357459207459</v>
      </c>
      <c r="N25" s="2"/>
    </row>
    <row r="26" customFormat="false" ht="15.75" hidden="false" customHeight="true" outlineLevel="0" collapsed="false">
      <c r="A26" s="22" t="s">
        <v>56</v>
      </c>
      <c r="B26" s="23" t="s">
        <v>47</v>
      </c>
      <c r="C26" s="23" t="s">
        <v>48</v>
      </c>
      <c r="D26" s="19" t="s">
        <v>49</v>
      </c>
      <c r="E26" s="24" t="s">
        <v>57</v>
      </c>
      <c r="F26" s="25" t="n">
        <v>4525</v>
      </c>
      <c r="G26" s="26" t="n">
        <v>0.1</v>
      </c>
      <c r="H26" s="27" t="n">
        <f aca="false">IF($A26="","",$D$13)</f>
        <v>1316.64032634033</v>
      </c>
      <c r="I26" s="28" t="n">
        <f aca="false">IF($A26="","",N(F26)*(1-N(G26))+N(H26))</f>
        <v>5389.14032634033</v>
      </c>
      <c r="J26" s="28" t="n">
        <f aca="false">IF($A26="","",CEILING(I26*$B$18,500))</f>
        <v>11000</v>
      </c>
      <c r="K26" s="29" t="n">
        <v>8500</v>
      </c>
      <c r="L26" s="28" t="n">
        <f aca="false">IF(OR($A26="",N(K26)=0),"",K26-K26*$B$19-N(I26))</f>
        <v>3110.85967365967</v>
      </c>
      <c r="M26" s="30" t="n">
        <f aca="false">IF(OR($A26="",N(K26)=0),"",N(L26)/K26)</f>
        <v>0.365983491018785</v>
      </c>
      <c r="N26" s="2"/>
    </row>
    <row r="27" customFormat="false" ht="15.75" hidden="false" customHeight="true" outlineLevel="0" collapsed="false">
      <c r="A27" s="22" t="s">
        <v>58</v>
      </c>
      <c r="B27" s="23" t="s">
        <v>47</v>
      </c>
      <c r="C27" s="23" t="s">
        <v>48</v>
      </c>
      <c r="D27" s="19" t="s">
        <v>49</v>
      </c>
      <c r="E27" s="24" t="s">
        <v>59</v>
      </c>
      <c r="F27" s="25" t="n">
        <v>4805</v>
      </c>
      <c r="G27" s="26" t="n">
        <v>0.1</v>
      </c>
      <c r="H27" s="27" t="n">
        <f aca="false">IF($A27="","",$D$13)</f>
        <v>1316.64032634033</v>
      </c>
      <c r="I27" s="28" t="n">
        <f aca="false">IF($A27="","",N(F27)*(1-N(G27))+N(H27))</f>
        <v>5641.14032634033</v>
      </c>
      <c r="J27" s="28" t="n">
        <f aca="false">IF($A27="","",CEILING(I27*$B$18,500))</f>
        <v>11500</v>
      </c>
      <c r="K27" s="29" t="n">
        <v>9000</v>
      </c>
      <c r="L27" s="28" t="n">
        <f aca="false">IF(OR($A27="",N(K27)=0),"",K27-K27*$B$19-N(I27))</f>
        <v>3358.85967365967</v>
      </c>
      <c r="M27" s="30" t="n">
        <f aca="false">IF(OR($A27="",N(K27)=0),"",N(L27)/K27)</f>
        <v>0.37320663040663</v>
      </c>
      <c r="N27" s="2"/>
    </row>
    <row r="28" customFormat="false" ht="15.75" hidden="false" customHeight="true" outlineLevel="0" collapsed="false">
      <c r="A28" s="22" t="s">
        <v>60</v>
      </c>
      <c r="B28" s="23" t="s">
        <v>47</v>
      </c>
      <c r="C28" s="23" t="s">
        <v>48</v>
      </c>
      <c r="D28" s="19" t="s">
        <v>49</v>
      </c>
      <c r="E28" s="24" t="s">
        <v>61</v>
      </c>
      <c r="F28" s="25" t="n">
        <v>6400</v>
      </c>
      <c r="G28" s="26" t="n">
        <v>0.1</v>
      </c>
      <c r="H28" s="27" t="n">
        <f aca="false">IF($A28="","",$D$13)</f>
        <v>1316.64032634033</v>
      </c>
      <c r="I28" s="28" t="n">
        <f aca="false">IF($A28="","",N(F28)*(1-N(G28))+N(H28))</f>
        <v>7076.64032634033</v>
      </c>
      <c r="J28" s="28" t="n">
        <f aca="false">IF($A28="","",CEILING(I28*$B$18,500))</f>
        <v>14500</v>
      </c>
      <c r="K28" s="29" t="n">
        <v>12000</v>
      </c>
      <c r="L28" s="28" t="n">
        <f aca="false">IF(OR($A28="",N(K28)=0),"",K28-K28*$B$19-N(I28))</f>
        <v>4923.35967365967</v>
      </c>
      <c r="M28" s="30" t="n">
        <f aca="false">IF(OR($A28="",N(K28)=0),"",N(L28)/K28)</f>
        <v>0.410279972804973</v>
      </c>
      <c r="N28" s="2"/>
    </row>
    <row r="29" customFormat="false" ht="15.75" hidden="false" customHeight="true" outlineLevel="0" collapsed="false">
      <c r="A29" s="22" t="s">
        <v>62</v>
      </c>
      <c r="B29" s="23" t="s">
        <v>47</v>
      </c>
      <c r="C29" s="23" t="s">
        <v>48</v>
      </c>
      <c r="D29" s="19" t="s">
        <v>49</v>
      </c>
      <c r="E29" s="24" t="s">
        <v>63</v>
      </c>
      <c r="F29" s="25" t="n">
        <v>6800</v>
      </c>
      <c r="G29" s="26" t="n">
        <v>0.1</v>
      </c>
      <c r="H29" s="27" t="n">
        <f aca="false">IF($A29="","",$D$13)</f>
        <v>1316.64032634033</v>
      </c>
      <c r="I29" s="28" t="n">
        <f aca="false">IF($A29="","",N(F29)*(1-N(G29))+N(H29))</f>
        <v>7436.64032634033</v>
      </c>
      <c r="J29" s="28" t="n">
        <f aca="false">IF($A29="","",CEILING(I29*$B$18,500))</f>
        <v>15000</v>
      </c>
      <c r="K29" s="29" t="n">
        <v>12500</v>
      </c>
      <c r="L29" s="28" t="n">
        <f aca="false">IF(OR($A29="",N(K29)=0),"",K29-K29*$B$19-N(I29))</f>
        <v>5063.35967365967</v>
      </c>
      <c r="M29" s="30" t="n">
        <f aca="false">IF(OR($A29="",N(K29)=0),"",N(L29)/K29)</f>
        <v>0.405068773892774</v>
      </c>
      <c r="N29" s="2"/>
    </row>
    <row r="30" customFormat="false" ht="15.75" hidden="false" customHeight="true" outlineLevel="0" collapsed="false">
      <c r="A30" s="22" t="s">
        <v>64</v>
      </c>
      <c r="B30" s="23" t="s">
        <v>47</v>
      </c>
      <c r="C30" s="23" t="s">
        <v>48</v>
      </c>
      <c r="D30" s="19" t="s">
        <v>49</v>
      </c>
      <c r="E30" s="24" t="s">
        <v>65</v>
      </c>
      <c r="F30" s="25" t="n">
        <v>6270</v>
      </c>
      <c r="G30" s="26" t="n">
        <v>0.1</v>
      </c>
      <c r="H30" s="27" t="n">
        <f aca="false">IF($A30="","",$D$13)</f>
        <v>1316.64032634033</v>
      </c>
      <c r="I30" s="28" t="n">
        <f aca="false">IF($A30="","",N(F30)*(1-N(G30))+N(H30))</f>
        <v>6959.64032634033</v>
      </c>
      <c r="J30" s="28" t="n">
        <f aca="false">IF($A30="","",CEILING(I30*$B$18,500))</f>
        <v>14000</v>
      </c>
      <c r="K30" s="29" t="n">
        <v>12500</v>
      </c>
      <c r="L30" s="28" t="n">
        <f aca="false">IF(OR($A30="",N(K30)=0),"",K30-K30*$B$19-N(I30))</f>
        <v>5540.35967365967</v>
      </c>
      <c r="M30" s="30" t="n">
        <f aca="false">IF(OR($A30="",N(K30)=0),"",N(L30)/K30)</f>
        <v>0.443228773892774</v>
      </c>
      <c r="N30" s="2"/>
    </row>
    <row r="31" customFormat="false" ht="15.75" hidden="false" customHeight="true" outlineLevel="0" collapsed="false">
      <c r="A31" s="22" t="s">
        <v>66</v>
      </c>
      <c r="B31" s="23" t="s">
        <v>47</v>
      </c>
      <c r="C31" s="23" t="s">
        <v>48</v>
      </c>
      <c r="D31" s="19" t="s">
        <v>49</v>
      </c>
      <c r="E31" s="31" t="s">
        <v>67</v>
      </c>
      <c r="F31" s="25" t="n">
        <v>18645</v>
      </c>
      <c r="G31" s="26" t="n">
        <v>0.1</v>
      </c>
      <c r="H31" s="27" t="n">
        <f aca="false">IF($A31="","",$D$13)</f>
        <v>1316.64032634033</v>
      </c>
      <c r="I31" s="28" t="n">
        <f aca="false">IF($A31="","",N(F31)*(1-N(G31))+N(H31))</f>
        <v>18097.1403263403</v>
      </c>
      <c r="J31" s="28" t="n">
        <f aca="false">IF($A31="","",CEILING(I31*$B$18,500))</f>
        <v>36500</v>
      </c>
      <c r="K31" s="29" t="n">
        <v>25000</v>
      </c>
      <c r="L31" s="28" t="n">
        <f aca="false">IF(OR($A31="",N(K31)=0),"",K31-K31*$B$19-N(I31))</f>
        <v>6902.85967365967</v>
      </c>
      <c r="M31" s="30" t="n">
        <f aca="false">IF(OR($A31="",N(K31)=0),"",N(L31)/K31)</f>
        <v>0.276114386946387</v>
      </c>
      <c r="N31" s="2"/>
    </row>
    <row r="32" customFormat="false" ht="15.75" hidden="false" customHeight="true" outlineLevel="0" collapsed="false">
      <c r="A32" s="22" t="s">
        <v>68</v>
      </c>
      <c r="B32" s="23" t="s">
        <v>47</v>
      </c>
      <c r="C32" s="23" t="s">
        <v>69</v>
      </c>
      <c r="D32" s="19" t="s">
        <v>49</v>
      </c>
      <c r="E32" s="24" t="s">
        <v>70</v>
      </c>
      <c r="F32" s="25" t="n">
        <v>8250</v>
      </c>
      <c r="G32" s="26" t="n">
        <v>0.1</v>
      </c>
      <c r="H32" s="27" t="n">
        <f aca="false">IF($A32="","",$D$13)</f>
        <v>1316.64032634033</v>
      </c>
      <c r="I32" s="28" t="n">
        <f aca="false">IF($A32="","",N(F32)*(1-N(G32))+N(H32))</f>
        <v>8741.64032634033</v>
      </c>
      <c r="J32" s="28" t="n">
        <f aca="false">IF($A32="","",CEILING(I32*$B$18,500))</f>
        <v>17500</v>
      </c>
      <c r="K32" s="29" t="n">
        <v>16000</v>
      </c>
      <c r="L32" s="28" t="n">
        <f aca="false">IF(OR($A32="",N(K32)=0),"",K32-K32*$B$19-N(I32))</f>
        <v>7258.35967365967</v>
      </c>
      <c r="M32" s="30" t="n">
        <f aca="false">IF(OR($A32="",N(K32)=0),"",N(L32)/K32)</f>
        <v>0.45364747960373</v>
      </c>
      <c r="N32" s="2"/>
    </row>
    <row r="33" customFormat="false" ht="15.75" hidden="false" customHeight="true" outlineLevel="0" collapsed="false">
      <c r="A33" s="22" t="s">
        <v>71</v>
      </c>
      <c r="B33" s="23" t="s">
        <v>47</v>
      </c>
      <c r="C33" s="23" t="s">
        <v>69</v>
      </c>
      <c r="D33" s="19" t="s">
        <v>49</v>
      </c>
      <c r="E33" s="23" t="s">
        <v>67</v>
      </c>
      <c r="F33" s="25" t="n">
        <v>14148</v>
      </c>
      <c r="G33" s="26" t="n">
        <v>0.1</v>
      </c>
      <c r="H33" s="27" t="n">
        <f aca="false">IF($A33="","",$D$13)</f>
        <v>1316.64032634033</v>
      </c>
      <c r="I33" s="28" t="n">
        <f aca="false">IF($A33="","",N(F33)*(1-N(G33))+N(H33))</f>
        <v>14049.8403263403</v>
      </c>
      <c r="J33" s="28" t="n">
        <f aca="false">IF($A33="","",CEILING(I33*$B$18,500))</f>
        <v>28500</v>
      </c>
      <c r="K33" s="29" t="n">
        <v>23000</v>
      </c>
      <c r="L33" s="28" t="n">
        <f aca="false">IF(OR($A33="",N(K33)=0),"",K33-K33*$B$19-N(I33))</f>
        <v>8950.15967365967</v>
      </c>
      <c r="M33" s="30" t="n">
        <f aca="false">IF(OR($A33="",N(K33)=0),"",N(L33)/K33)</f>
        <v>0.389137377115638</v>
      </c>
      <c r="N33" s="2"/>
    </row>
    <row r="34" customFormat="false" ht="15.75" hidden="false" customHeight="true" outlineLevel="0" collapsed="false">
      <c r="A34" s="22" t="s">
        <v>72</v>
      </c>
      <c r="B34" s="23" t="s">
        <v>47</v>
      </c>
      <c r="C34" s="23" t="s">
        <v>69</v>
      </c>
      <c r="D34" s="19" t="s">
        <v>49</v>
      </c>
      <c r="E34" s="24" t="s">
        <v>73</v>
      </c>
      <c r="F34" s="25" t="n">
        <v>6500</v>
      </c>
      <c r="G34" s="26" t="n">
        <v>0.1</v>
      </c>
      <c r="H34" s="27" t="n">
        <f aca="false">IF($A34="","",$D$13)</f>
        <v>1316.64032634033</v>
      </c>
      <c r="I34" s="28" t="n">
        <f aca="false">IF($A34="","",N(F34)*(1-N(G34))+N(H34))</f>
        <v>7166.64032634033</v>
      </c>
      <c r="J34" s="28" t="n">
        <f aca="false">IF($A34="","",CEILING(I34*$B$18,500))</f>
        <v>14500</v>
      </c>
      <c r="K34" s="29" t="n">
        <v>13000</v>
      </c>
      <c r="L34" s="28" t="n">
        <f aca="false">IF(OR($A34="",N(K34)=0),"",K34-K34*$B$19-N(I34))</f>
        <v>5833.35967365967</v>
      </c>
      <c r="M34" s="30" t="n">
        <f aca="false">IF(OR($A34="",N(K34)=0),"",N(L34)/K34)</f>
        <v>0.448719974896898</v>
      </c>
      <c r="N34" s="2"/>
    </row>
    <row r="35" customFormat="false" ht="15.75" hidden="false" customHeight="true" outlineLevel="0" collapsed="false">
      <c r="A35" s="22" t="s">
        <v>74</v>
      </c>
      <c r="B35" s="23" t="s">
        <v>47</v>
      </c>
      <c r="C35" s="23" t="s">
        <v>69</v>
      </c>
      <c r="D35" s="19" t="s">
        <v>49</v>
      </c>
      <c r="E35" s="24" t="s">
        <v>75</v>
      </c>
      <c r="F35" s="25" t="n">
        <v>10890</v>
      </c>
      <c r="G35" s="26" t="n">
        <v>0.1</v>
      </c>
      <c r="H35" s="27" t="n">
        <f aca="false">IF($A35="","",$D$13)</f>
        <v>1316.64032634033</v>
      </c>
      <c r="I35" s="28" t="n">
        <f aca="false">IF($A35="","",N(F35)*(1-N(G35))+N(H35))</f>
        <v>11117.6403263403</v>
      </c>
      <c r="J35" s="28" t="n">
        <f aca="false">IF($A35="","",CEILING(I35*$B$18,500))</f>
        <v>22500</v>
      </c>
      <c r="K35" s="29" t="n">
        <v>19000</v>
      </c>
      <c r="L35" s="28" t="n">
        <f aca="false">IF(OR($A35="",N(K35)=0),"",K35-K35*$B$19-N(I35))</f>
        <v>7882.35967365967</v>
      </c>
      <c r="M35" s="30" t="n">
        <f aca="false">IF(OR($A35="",N(K35)=0),"",N(L35)/K35)</f>
        <v>0.414861035455772</v>
      </c>
      <c r="N35" s="2"/>
    </row>
    <row r="36" customFormat="false" ht="15.75" hidden="false" customHeight="true" outlineLevel="0" collapsed="false">
      <c r="A36" s="22" t="s">
        <v>76</v>
      </c>
      <c r="B36" s="23" t="s">
        <v>77</v>
      </c>
      <c r="C36" s="23" t="s">
        <v>78</v>
      </c>
      <c r="D36" s="19" t="s">
        <v>49</v>
      </c>
      <c r="E36" s="23" t="s">
        <v>79</v>
      </c>
      <c r="F36" s="25" t="n">
        <v>3900</v>
      </c>
      <c r="G36" s="26" t="n">
        <v>0.1</v>
      </c>
      <c r="H36" s="27" t="n">
        <f aca="false">IF($A36="","",$D$13)</f>
        <v>1316.64032634033</v>
      </c>
      <c r="I36" s="28" t="n">
        <f aca="false">IF($A36="","",N(F36)*(1-N(G36))+N(H36))</f>
        <v>4826.64032634033</v>
      </c>
      <c r="J36" s="28" t="n">
        <f aca="false">IF($A36="","",CEILING(I36*$B$18,500))</f>
        <v>10000</v>
      </c>
      <c r="K36" s="29" t="n">
        <v>8500</v>
      </c>
      <c r="L36" s="28" t="n">
        <f aca="false">IF(OR($A36="",N(K36)=0),"",K36-K36*$B$19-N(I36))</f>
        <v>3673.35967365967</v>
      </c>
      <c r="M36" s="30" t="n">
        <f aca="false">IF(OR($A36="",N(K36)=0),"",N(L36)/K36)</f>
        <v>0.43215996160702</v>
      </c>
      <c r="N36" s="2"/>
    </row>
    <row r="37" customFormat="false" ht="15.75" hidden="false" customHeight="true" outlineLevel="0" collapsed="false">
      <c r="A37" s="22" t="s">
        <v>80</v>
      </c>
      <c r="B37" s="23" t="s">
        <v>77</v>
      </c>
      <c r="C37" s="23" t="s">
        <v>78</v>
      </c>
      <c r="D37" s="19" t="s">
        <v>49</v>
      </c>
      <c r="E37" s="23"/>
      <c r="F37" s="25" t="n">
        <v>2700</v>
      </c>
      <c r="G37" s="26" t="n">
        <v>0.1</v>
      </c>
      <c r="H37" s="27" t="n">
        <f aca="false">IF($A37="","",$D$13)</f>
        <v>1316.64032634033</v>
      </c>
      <c r="I37" s="28" t="n">
        <f aca="false">IF($A37="","",N(F37)*(1-N(G37))+N(H37))</f>
        <v>3746.64032634033</v>
      </c>
      <c r="J37" s="28" t="n">
        <f aca="false">IF($A37="","",CEILING(I37*$B$18,500))</f>
        <v>7500</v>
      </c>
      <c r="K37" s="29" t="n">
        <v>7000</v>
      </c>
      <c r="L37" s="28" t="n">
        <f aca="false">IF(OR($A37="",N(K37)=0),"",K37-K37*$B$19-N(I37))</f>
        <v>3253.35967365967</v>
      </c>
      <c r="M37" s="30" t="n">
        <f aca="false">IF(OR($A37="",N(K37)=0),"",N(L37)/K37)</f>
        <v>0.464765667665668</v>
      </c>
      <c r="N37" s="2"/>
    </row>
    <row r="38" customFormat="false" ht="15.75" hidden="false" customHeight="true" outlineLevel="0" collapsed="false">
      <c r="A38" s="22" t="s">
        <v>81</v>
      </c>
      <c r="B38" s="23" t="s">
        <v>77</v>
      </c>
      <c r="C38" s="23" t="s">
        <v>48</v>
      </c>
      <c r="D38" s="19" t="s">
        <v>49</v>
      </c>
      <c r="E38" s="23"/>
      <c r="F38" s="25" t="n">
        <v>3100</v>
      </c>
      <c r="G38" s="26" t="n">
        <v>0.1</v>
      </c>
      <c r="H38" s="27" t="n">
        <f aca="false">IF($A38="","",$D$13)</f>
        <v>1316.64032634033</v>
      </c>
      <c r="I38" s="28" t="n">
        <f aca="false">IF($A38="","",N(F38)*(1-N(G38))+N(H38))</f>
        <v>4106.64032634033</v>
      </c>
      <c r="J38" s="28" t="n">
        <f aca="false">IF($A38="","",CEILING(I38*$B$18,500))</f>
        <v>8500</v>
      </c>
      <c r="K38" s="29" t="n">
        <v>7500</v>
      </c>
      <c r="L38" s="28" t="n">
        <f aca="false">IF(OR($A38="",N(K38)=0),"",K38-K38*$B$19-N(I38))</f>
        <v>3393.35967365967</v>
      </c>
      <c r="M38" s="30" t="n">
        <f aca="false">IF(OR($A38="",N(K38)=0),"",N(L38)/K38)</f>
        <v>0.452447956487957</v>
      </c>
      <c r="N38" s="2"/>
    </row>
    <row r="39" customFormat="false" ht="15.75" hidden="false" customHeight="true" outlineLevel="0" collapsed="false">
      <c r="A39" s="22" t="s">
        <v>82</v>
      </c>
      <c r="B39" s="23" t="s">
        <v>77</v>
      </c>
      <c r="C39" s="23" t="s">
        <v>48</v>
      </c>
      <c r="D39" s="19" t="s">
        <v>49</v>
      </c>
      <c r="E39" s="32" t="s">
        <v>83</v>
      </c>
      <c r="F39" s="25" t="n">
        <v>2300</v>
      </c>
      <c r="G39" s="26" t="n">
        <v>0.1</v>
      </c>
      <c r="H39" s="27" t="n">
        <f aca="false">IF($A39="","",$D$13)</f>
        <v>1316.64032634033</v>
      </c>
      <c r="I39" s="28" t="n">
        <f aca="false">IF($A39="","",N(F39)*(1-N(G39))+N(H39))</f>
        <v>3386.64032634033</v>
      </c>
      <c r="J39" s="28" t="n">
        <f aca="false">IF($A39="","",CEILING(I39*$B$18,500))</f>
        <v>7000</v>
      </c>
      <c r="K39" s="29" t="n">
        <v>6500</v>
      </c>
      <c r="L39" s="28" t="n">
        <f aca="false">IF(OR($A39="",N(K39)=0),"",K39-K39*$B$19-N(I39))</f>
        <v>3113.35967365967</v>
      </c>
      <c r="M39" s="30" t="n">
        <f aca="false">IF(OR($A39="",N(K39)=0),"",N(L39)/K39)</f>
        <v>0.478978411332258</v>
      </c>
      <c r="N39" s="2"/>
    </row>
    <row r="40" customFormat="false" ht="15.75" hidden="false" customHeight="true" outlineLevel="0" collapsed="false">
      <c r="A40" s="22" t="s">
        <v>84</v>
      </c>
      <c r="B40" s="23" t="s">
        <v>77</v>
      </c>
      <c r="C40" s="23" t="s">
        <v>48</v>
      </c>
      <c r="D40" s="19" t="s">
        <v>49</v>
      </c>
      <c r="E40" s="32" t="s">
        <v>85</v>
      </c>
      <c r="F40" s="25" t="n">
        <v>2300</v>
      </c>
      <c r="G40" s="26" t="n">
        <v>0.1</v>
      </c>
      <c r="H40" s="27" t="n">
        <f aca="false">IF($A40="","",$D$13)</f>
        <v>1316.64032634033</v>
      </c>
      <c r="I40" s="28" t="n">
        <f aca="false">IF($A40="","",N(F40)*(1-N(G40))+N(H40))</f>
        <v>3386.64032634033</v>
      </c>
      <c r="J40" s="28" t="n">
        <f aca="false">IF($A40="","",CEILING(I40*$B$18,500))</f>
        <v>7000</v>
      </c>
      <c r="K40" s="29" t="n">
        <v>6500</v>
      </c>
      <c r="L40" s="28" t="n">
        <f aca="false">IF(OR($A40="",N(K40)=0),"",K40-K40*$B$19-N(I40))</f>
        <v>3113.35967365967</v>
      </c>
      <c r="M40" s="30" t="n">
        <f aca="false">IF(OR($A40="",N(K40)=0),"",N(L40)/K40)</f>
        <v>0.478978411332258</v>
      </c>
      <c r="N40" s="2"/>
    </row>
    <row r="41" customFormat="false" ht="15.75" hidden="false" customHeight="true" outlineLevel="0" collapsed="false">
      <c r="A41" s="22" t="s">
        <v>86</v>
      </c>
      <c r="B41" s="23" t="s">
        <v>77</v>
      </c>
      <c r="C41" s="23" t="s">
        <v>48</v>
      </c>
      <c r="D41" s="19" t="s">
        <v>49</v>
      </c>
      <c r="E41" s="32" t="s">
        <v>85</v>
      </c>
      <c r="F41" s="25" t="n">
        <v>3900</v>
      </c>
      <c r="G41" s="26" t="n">
        <v>0.1</v>
      </c>
      <c r="H41" s="27" t="n">
        <f aca="false">IF($A41="","",$D$13)</f>
        <v>1316.64032634033</v>
      </c>
      <c r="I41" s="28" t="n">
        <f aca="false">IF($A41="","",N(F41)*(1-N(G41))+N(H41))</f>
        <v>4826.64032634033</v>
      </c>
      <c r="J41" s="28" t="n">
        <f aca="false">IF($A41="","",CEILING(I41*$B$18,500))</f>
        <v>10000</v>
      </c>
      <c r="K41" s="29" t="n">
        <v>7000</v>
      </c>
      <c r="L41" s="28" t="n">
        <f aca="false">IF(OR($A41="",N(K41)=0),"",K41-K41*$B$19-N(I41))</f>
        <v>2173.35967365967</v>
      </c>
      <c r="M41" s="30" t="n">
        <f aca="false">IF(OR($A41="",N(K41)=0),"",N(L41)/K41)</f>
        <v>0.310479953379953</v>
      </c>
      <c r="N41" s="2"/>
    </row>
    <row r="42" customFormat="false" ht="15.75" hidden="false" customHeight="true" outlineLevel="0" collapsed="false">
      <c r="A42" s="22" t="s">
        <v>87</v>
      </c>
      <c r="B42" s="23" t="s">
        <v>77</v>
      </c>
      <c r="C42" s="23" t="s">
        <v>48</v>
      </c>
      <c r="D42" s="19" t="s">
        <v>49</v>
      </c>
      <c r="E42" s="32"/>
      <c r="F42" s="25" t="n">
        <v>3100</v>
      </c>
      <c r="G42" s="26" t="n">
        <v>0.1</v>
      </c>
      <c r="H42" s="27" t="n">
        <f aca="false">IF($A42="","",$D$13)</f>
        <v>1316.64032634033</v>
      </c>
      <c r="I42" s="28" t="n">
        <f aca="false">IF($A42="","",N(F42)*(1-N(G42))+N(H42))</f>
        <v>4106.64032634033</v>
      </c>
      <c r="J42" s="28" t="n">
        <f aca="false">IF($A42="","",CEILING(I42*$B$18,500))</f>
        <v>8500</v>
      </c>
      <c r="K42" s="29" t="n">
        <v>6500</v>
      </c>
      <c r="L42" s="28" t="n">
        <f aca="false">IF(OR($A42="",N(K42)=0),"",K42-K42*$B$19-N(I42))</f>
        <v>2393.35967365967</v>
      </c>
      <c r="M42" s="30" t="n">
        <f aca="false">IF(OR($A42="",N(K42)=0),"",N(L42)/K42)</f>
        <v>0.368209180563027</v>
      </c>
      <c r="N42" s="2"/>
    </row>
    <row r="43" customFormat="false" ht="15.75" hidden="false" customHeight="true" outlineLevel="0" collapsed="false">
      <c r="A43" s="22" t="s">
        <v>88</v>
      </c>
      <c r="B43" s="23" t="s">
        <v>77</v>
      </c>
      <c r="C43" s="23" t="s">
        <v>48</v>
      </c>
      <c r="D43" s="19" t="s">
        <v>49</v>
      </c>
      <c r="E43" s="32" t="s">
        <v>89</v>
      </c>
      <c r="F43" s="25" t="n">
        <v>2600</v>
      </c>
      <c r="G43" s="26" t="n">
        <v>0.1</v>
      </c>
      <c r="H43" s="27" t="n">
        <f aca="false">IF($A43="","",$D$13)</f>
        <v>1316.64032634033</v>
      </c>
      <c r="I43" s="28" t="n">
        <f aca="false">IF($A43="","",N(F43)*(1-N(G43))+N(H43))</f>
        <v>3656.64032634033</v>
      </c>
      <c r="J43" s="28" t="n">
        <f aca="false">IF($A43="","",CEILING(I43*$B$18,500))</f>
        <v>7500</v>
      </c>
      <c r="K43" s="29" t="n">
        <v>6500</v>
      </c>
      <c r="L43" s="28" t="n">
        <f aca="false">IF(OR($A43="",N(K43)=0),"",K43-K43*$B$19-N(I43))</f>
        <v>2843.35967365967</v>
      </c>
      <c r="M43" s="30" t="n">
        <f aca="false">IF(OR($A43="",N(K43)=0),"",N(L43)/K43)</f>
        <v>0.437439949793796</v>
      </c>
      <c r="N43" s="2"/>
    </row>
    <row r="44" customFormat="false" ht="15.75" hidden="false" customHeight="true" outlineLevel="0" collapsed="false">
      <c r="A44" s="22" t="s">
        <v>90</v>
      </c>
      <c r="B44" s="23" t="s">
        <v>77</v>
      </c>
      <c r="C44" s="23" t="s">
        <v>48</v>
      </c>
      <c r="D44" s="19" t="s">
        <v>49</v>
      </c>
      <c r="E44" s="32" t="s">
        <v>91</v>
      </c>
      <c r="F44" s="25" t="n">
        <v>2200</v>
      </c>
      <c r="G44" s="26" t="n">
        <v>0.1</v>
      </c>
      <c r="H44" s="27" t="n">
        <f aca="false">IF($A44="","",$D$13)</f>
        <v>1316.64032634033</v>
      </c>
      <c r="I44" s="28" t="n">
        <f aca="false">IF($A44="","",N(F44)*(1-N(G44))+N(H44))</f>
        <v>3296.64032634033</v>
      </c>
      <c r="J44" s="28" t="n">
        <f aca="false">IF($A44="","",CEILING(I44*$B$18,500))</f>
        <v>7000</v>
      </c>
      <c r="K44" s="29" t="n">
        <v>6500</v>
      </c>
      <c r="L44" s="28" t="n">
        <f aca="false">IF(OR($A44="",N(K44)=0),"",K44-K44*$B$19-N(I44))</f>
        <v>3203.35967365967</v>
      </c>
      <c r="M44" s="30" t="n">
        <f aca="false">IF(OR($A44="",N(K44)=0),"",N(L44)/K44)</f>
        <v>0.492824565178411</v>
      </c>
      <c r="N44" s="2"/>
    </row>
    <row r="45" customFormat="false" ht="15.75" hidden="false" customHeight="true" outlineLevel="0" collapsed="false">
      <c r="A45" s="22" t="s">
        <v>92</v>
      </c>
      <c r="B45" s="23" t="s">
        <v>77</v>
      </c>
      <c r="C45" s="23" t="s">
        <v>48</v>
      </c>
      <c r="D45" s="19" t="s">
        <v>49</v>
      </c>
      <c r="E45" s="32" t="s">
        <v>93</v>
      </c>
      <c r="F45" s="25" t="n">
        <v>2200</v>
      </c>
      <c r="G45" s="26" t="n">
        <v>0.1</v>
      </c>
      <c r="H45" s="27" t="n">
        <f aca="false">IF($A45="","",$D$13)</f>
        <v>1316.64032634033</v>
      </c>
      <c r="I45" s="28" t="n">
        <f aca="false">IF($A45="","",N(F45)*(1-N(G45))+N(H45))</f>
        <v>3296.64032634033</v>
      </c>
      <c r="J45" s="28" t="n">
        <f aca="false">IF($A45="","",CEILING(I45*$B$18,500))</f>
        <v>7000</v>
      </c>
      <c r="K45" s="29" t="n">
        <v>6500</v>
      </c>
      <c r="L45" s="28" t="n">
        <f aca="false">IF(OR($A45="",N(K45)=0),"",K45-K45*$B$19-N(I45))</f>
        <v>3203.35967365967</v>
      </c>
      <c r="M45" s="30" t="n">
        <f aca="false">IF(OR($A45="",N(K45)=0),"",N(L45)/K45)</f>
        <v>0.492824565178411</v>
      </c>
      <c r="N45" s="2"/>
    </row>
    <row r="46" customFormat="false" ht="15.75" hidden="false" customHeight="true" outlineLevel="0" collapsed="false">
      <c r="A46" s="22"/>
      <c r="B46" s="23"/>
      <c r="C46" s="23"/>
      <c r="D46" s="19"/>
      <c r="E46" s="32" t="s">
        <v>93</v>
      </c>
      <c r="F46" s="25"/>
      <c r="G46" s="26"/>
      <c r="H46" s="27" t="str">
        <f aca="false">IF($A46="","",$D$13)</f>
        <v/>
      </c>
      <c r="I46" s="33" t="str">
        <f aca="false">IF($A46="","",N(F46)*(1-N(G46))+N(H46))</f>
        <v/>
      </c>
      <c r="J46" s="33" t="str">
        <f aca="false">IF($A46="","",CEILING(I46*$B$18,500))</f>
        <v/>
      </c>
      <c r="K46" s="29"/>
      <c r="L46" s="33" t="str">
        <f aca="false">IF(OR($A46="",N(K46)=0),"",K46-K46*$B$19-N(I46))</f>
        <v/>
      </c>
      <c r="M46" s="30" t="str">
        <f aca="false">IF(OR($A46="",N(K46)=0),"",N(L46)/K46)</f>
        <v/>
      </c>
      <c r="N46" s="2"/>
    </row>
    <row r="47" customFormat="false" ht="15.75" hidden="false" customHeight="true" outlineLevel="0" collapsed="false">
      <c r="A47" s="22" t="s">
        <v>94</v>
      </c>
      <c r="B47" s="23" t="s">
        <v>95</v>
      </c>
      <c r="C47" s="23" t="s">
        <v>69</v>
      </c>
      <c r="D47" s="23" t="s">
        <v>96</v>
      </c>
      <c r="E47" s="23" t="s">
        <v>97</v>
      </c>
      <c r="F47" s="25" t="n">
        <v>6500</v>
      </c>
      <c r="G47" s="34"/>
      <c r="H47" s="27" t="n">
        <f aca="false">IF($A47="","",$D$13)</f>
        <v>1316.64032634033</v>
      </c>
      <c r="I47" s="33" t="n">
        <f aca="false">IF($A47="","",N(F47)*(1-N(G47))+N(H47))</f>
        <v>7816.64032634033</v>
      </c>
      <c r="J47" s="33" t="n">
        <f aca="false">IF($A47="","",CEILING(I47*$B$18,500))</f>
        <v>16000</v>
      </c>
      <c r="K47" s="29" t="n">
        <v>13000</v>
      </c>
      <c r="L47" s="33" t="n">
        <f aca="false">IF(OR($A47="",N(K47)=0),"",K47-K47*$B$19-N(I47))</f>
        <v>5183.35967365967</v>
      </c>
      <c r="M47" s="35" t="n">
        <f aca="false">IF(OR($A47="",N(K47)=0),"",N(L47)/K47)</f>
        <v>0.398719974896898</v>
      </c>
      <c r="N47" s="2"/>
    </row>
    <row r="48" customFormat="false" ht="15.75" hidden="false" customHeight="true" outlineLevel="0" collapsed="false">
      <c r="A48" s="22" t="s">
        <v>98</v>
      </c>
      <c r="B48" s="23" t="s">
        <v>95</v>
      </c>
      <c r="C48" s="23" t="s">
        <v>69</v>
      </c>
      <c r="D48" s="23" t="s">
        <v>96</v>
      </c>
      <c r="E48" s="23"/>
      <c r="F48" s="25" t="n">
        <v>4500</v>
      </c>
      <c r="G48" s="34"/>
      <c r="H48" s="27" t="n">
        <f aca="false">IF($A48="","",$D$13)</f>
        <v>1316.64032634033</v>
      </c>
      <c r="I48" s="33" t="n">
        <f aca="false">IF($A48="","",N(F48)*(1-N(G48))+N(H48))</f>
        <v>5816.64032634033</v>
      </c>
      <c r="J48" s="33" t="n">
        <f aca="false">IF($A48="","",CEILING(I48*$B$18,500))</f>
        <v>12000</v>
      </c>
      <c r="K48" s="29" t="n">
        <v>11500</v>
      </c>
      <c r="L48" s="33" t="n">
        <f aca="false">IF(OR($A48="",N(K48)=0),"",K48-K48*$B$19-N(I48))</f>
        <v>5683.35967365967</v>
      </c>
      <c r="M48" s="35" t="n">
        <f aca="false">IF(OR($A48="",N(K48)=0),"",N(L48)/K48)</f>
        <v>0.494205189013885</v>
      </c>
      <c r="N48" s="2"/>
    </row>
    <row r="49" customFormat="false" ht="15.75" hidden="false" customHeight="true" outlineLevel="0" collapsed="false">
      <c r="A49" s="22" t="s">
        <v>99</v>
      </c>
      <c r="B49" s="23" t="s">
        <v>95</v>
      </c>
      <c r="C49" s="23" t="s">
        <v>69</v>
      </c>
      <c r="D49" s="23" t="s">
        <v>96</v>
      </c>
      <c r="E49" s="23"/>
      <c r="F49" s="25" t="n">
        <v>4500</v>
      </c>
      <c r="G49" s="26"/>
      <c r="H49" s="25" t="n">
        <f aca="false">IF($A49="","",$D$13)</f>
        <v>1316.64032634033</v>
      </c>
      <c r="I49" s="36" t="n">
        <f aca="false">IF($A49="","",N(F49)*(1-N(G49))+N(H49))</f>
        <v>5816.64032634033</v>
      </c>
      <c r="J49" s="36" t="n">
        <f aca="false">IF($A49="","",CEILING(I49*$B$18,500))</f>
        <v>12000</v>
      </c>
      <c r="K49" s="29" t="n">
        <v>11500</v>
      </c>
      <c r="L49" s="33" t="n">
        <f aca="false">IF(OR($A49="",N(K49)=0),"",K49-K49*$B$19-N(I49))</f>
        <v>5683.35967365967</v>
      </c>
      <c r="M49" s="35" t="n">
        <f aca="false">IF(OR($A49="",N(K49)=0),"",N(L49)/K49)</f>
        <v>0.494205189013885</v>
      </c>
      <c r="N49" s="2"/>
    </row>
    <row r="50" customFormat="false" ht="15.75" hidden="false" customHeight="true" outlineLevel="0" collapsed="false">
      <c r="A50" s="22" t="s">
        <v>100</v>
      </c>
      <c r="B50" s="23" t="s">
        <v>95</v>
      </c>
      <c r="C50" s="23" t="s">
        <v>69</v>
      </c>
      <c r="D50" s="23" t="s">
        <v>96</v>
      </c>
      <c r="E50" s="23" t="s">
        <v>101</v>
      </c>
      <c r="F50" s="25" t="n">
        <v>6500</v>
      </c>
      <c r="G50" s="26"/>
      <c r="H50" s="25" t="n">
        <f aca="false">IF($A50="","",$D$13)</f>
        <v>1316.64032634033</v>
      </c>
      <c r="I50" s="36" t="n">
        <f aca="false">IF($A50="","",N(F50)*(1-N(G50))+N(H50))</f>
        <v>7816.64032634033</v>
      </c>
      <c r="J50" s="36" t="n">
        <f aca="false">IF($A50="","",CEILING(I50*$B$18,500))</f>
        <v>16000</v>
      </c>
      <c r="K50" s="29" t="n">
        <v>13000</v>
      </c>
      <c r="L50" s="33" t="n">
        <f aca="false">IF(OR($A50="",N(K50)=0),"",K50-K50*$B$19-N(I50))</f>
        <v>5183.35967365967</v>
      </c>
      <c r="M50" s="35" t="n">
        <f aca="false">IF(OR($A50="",N(K50)=0),"",N(L50)/K50)</f>
        <v>0.398719974896898</v>
      </c>
      <c r="N50" s="2"/>
    </row>
    <row r="51" customFormat="false" ht="15.75" hidden="false" customHeight="true" outlineLevel="0" collapsed="false">
      <c r="A51" s="22" t="s">
        <v>102</v>
      </c>
      <c r="B51" s="23" t="s">
        <v>95</v>
      </c>
      <c r="C51" s="23" t="s">
        <v>69</v>
      </c>
      <c r="D51" s="23" t="s">
        <v>96</v>
      </c>
      <c r="E51" s="23" t="s">
        <v>103</v>
      </c>
      <c r="F51" s="25" t="n">
        <v>5500</v>
      </c>
      <c r="G51" s="26"/>
      <c r="H51" s="25" t="n">
        <f aca="false">IF($A51="","",$D$13)</f>
        <v>1316.64032634033</v>
      </c>
      <c r="I51" s="36" t="n">
        <f aca="false">IF($A51="","",N(F51)*(1-N(G51))+N(H51))</f>
        <v>6816.64032634033</v>
      </c>
      <c r="J51" s="36" t="n">
        <f aca="false">IF($A51="","",CEILING(I51*$B$18,500))</f>
        <v>14000</v>
      </c>
      <c r="K51" s="29" t="n">
        <v>12000</v>
      </c>
      <c r="L51" s="33" t="n">
        <f aca="false">IF(OR($A51="",N(K51)=0),"",K51-K51*$B$19-N(I51))</f>
        <v>5183.35967365967</v>
      </c>
      <c r="M51" s="35" t="n">
        <f aca="false">IF(OR($A51="",N(K51)=0),"",N(L51)/K51)</f>
        <v>0.431946639471639</v>
      </c>
      <c r="N51" s="2"/>
    </row>
    <row r="52" customFormat="false" ht="15.75" hidden="false" customHeight="true" outlineLevel="0" collapsed="false">
      <c r="A52" s="22" t="s">
        <v>104</v>
      </c>
      <c r="B52" s="23" t="s">
        <v>95</v>
      </c>
      <c r="C52" s="23" t="s">
        <v>69</v>
      </c>
      <c r="D52" s="23" t="s">
        <v>96</v>
      </c>
      <c r="E52" s="23"/>
      <c r="F52" s="25" t="n">
        <v>4500</v>
      </c>
      <c r="G52" s="26"/>
      <c r="H52" s="25" t="n">
        <f aca="false">IF($A52="","",$D$13)</f>
        <v>1316.64032634033</v>
      </c>
      <c r="I52" s="36" t="n">
        <f aca="false">IF($A52="","",N(F52)*(1-N(G52))+N(H52))</f>
        <v>5816.64032634033</v>
      </c>
      <c r="J52" s="36" t="n">
        <f aca="false">IF($A52="","",CEILING(I52*$B$18,500))</f>
        <v>12000</v>
      </c>
      <c r="K52" s="29" t="n">
        <v>11500</v>
      </c>
      <c r="L52" s="33" t="n">
        <f aca="false">IF(OR($A52="",N(K52)=0),"",K52-K52*$B$19-N(I52))</f>
        <v>5683.35967365967</v>
      </c>
      <c r="M52" s="35" t="n">
        <f aca="false">IF(OR($A52="",N(K52)=0),"",N(L52)/K52)</f>
        <v>0.494205189013885</v>
      </c>
      <c r="N52" s="2"/>
    </row>
    <row r="53" customFormat="false" ht="15.75" hidden="false" customHeight="true" outlineLevel="0" collapsed="false">
      <c r="A53" s="22" t="s">
        <v>105</v>
      </c>
      <c r="B53" s="23" t="s">
        <v>95</v>
      </c>
      <c r="C53" s="23" t="s">
        <v>69</v>
      </c>
      <c r="D53" s="23" t="s">
        <v>96</v>
      </c>
      <c r="E53" s="23" t="s">
        <v>106</v>
      </c>
      <c r="F53" s="25" t="n">
        <v>6500</v>
      </c>
      <c r="G53" s="26"/>
      <c r="H53" s="25" t="n">
        <f aca="false">IF($A53="","",$D$13)</f>
        <v>1316.64032634033</v>
      </c>
      <c r="I53" s="36" t="n">
        <f aca="false">IF($A53="","",N(F53)*(1-N(G53))+N(H53))</f>
        <v>7816.64032634033</v>
      </c>
      <c r="J53" s="36" t="n">
        <f aca="false">IF($A53="","",CEILING(I53*$B$18,500))</f>
        <v>16000</v>
      </c>
      <c r="K53" s="29" t="n">
        <v>13000</v>
      </c>
      <c r="L53" s="33" t="n">
        <f aca="false">IF(OR($A53="",N(K53)=0),"",K53-K53*$B$19-N(I53))</f>
        <v>5183.35967365967</v>
      </c>
      <c r="M53" s="35" t="n">
        <f aca="false">IF(OR($A53="",N(K53)=0),"",N(L53)/K53)</f>
        <v>0.398719974896898</v>
      </c>
      <c r="N53" s="2"/>
    </row>
    <row r="54" customFormat="false" ht="15.75" hidden="false" customHeight="true" outlineLevel="0" collapsed="false">
      <c r="A54" s="22" t="s">
        <v>107</v>
      </c>
      <c r="B54" s="23" t="s">
        <v>95</v>
      </c>
      <c r="C54" s="23" t="s">
        <v>69</v>
      </c>
      <c r="D54" s="23" t="s">
        <v>96</v>
      </c>
      <c r="E54" s="23" t="s">
        <v>108</v>
      </c>
      <c r="F54" s="25" t="n">
        <v>4500</v>
      </c>
      <c r="G54" s="26"/>
      <c r="H54" s="25" t="n">
        <f aca="false">IF($A54="","",$D$13)</f>
        <v>1316.64032634033</v>
      </c>
      <c r="I54" s="36" t="n">
        <f aca="false">IF($A54="","",N(F54)*(1-N(G54))+N(H54))</f>
        <v>5816.64032634033</v>
      </c>
      <c r="J54" s="36" t="n">
        <f aca="false">IF($A54="","",CEILING(I54*$B$18,500))</f>
        <v>12000</v>
      </c>
      <c r="K54" s="29" t="n">
        <v>11500</v>
      </c>
      <c r="L54" s="33" t="n">
        <f aca="false">IF(OR($A54="",N(K54)=0),"",K54-K54*$B$19-N(I54))</f>
        <v>5683.35967365967</v>
      </c>
      <c r="M54" s="35" t="n">
        <f aca="false">IF(OR($A54="",N(K54)=0),"",N(L54)/K54)</f>
        <v>0.494205189013885</v>
      </c>
      <c r="N54" s="2"/>
    </row>
    <row r="55" customFormat="false" ht="15.75" hidden="false" customHeight="true" outlineLevel="0" collapsed="false">
      <c r="A55" s="22" t="s">
        <v>109</v>
      </c>
      <c r="B55" s="23" t="s">
        <v>95</v>
      </c>
      <c r="C55" s="23" t="s">
        <v>69</v>
      </c>
      <c r="D55" s="23" t="s">
        <v>96</v>
      </c>
      <c r="E55" s="23" t="s">
        <v>110</v>
      </c>
      <c r="F55" s="25" t="n">
        <v>4500</v>
      </c>
      <c r="G55" s="26"/>
      <c r="H55" s="25" t="n">
        <f aca="false">IF($A55="","",$D$13)</f>
        <v>1316.64032634033</v>
      </c>
      <c r="I55" s="36" t="n">
        <f aca="false">IF($A55="","",N(F55)*(1-N(G55))+N(H55))</f>
        <v>5816.64032634033</v>
      </c>
      <c r="J55" s="36" t="n">
        <f aca="false">IF($A55="","",CEILING(I55*$B$18,500))</f>
        <v>12000</v>
      </c>
      <c r="K55" s="29" t="n">
        <v>11500</v>
      </c>
      <c r="L55" s="33" t="n">
        <f aca="false">IF(OR($A55="",N(K55)=0),"",K55-K55*$B$19-N(I55))</f>
        <v>5683.35967365967</v>
      </c>
      <c r="M55" s="35" t="n">
        <f aca="false">IF(OR($A55="",N(K55)=0),"",N(L55)/K55)</f>
        <v>0.494205189013885</v>
      </c>
      <c r="N55" s="2"/>
    </row>
    <row r="56" customFormat="false" ht="15.75" hidden="false" customHeight="true" outlineLevel="0" collapsed="false">
      <c r="A56" s="22" t="s">
        <v>111</v>
      </c>
      <c r="B56" s="23" t="s">
        <v>95</v>
      </c>
      <c r="C56" s="23" t="s">
        <v>69</v>
      </c>
      <c r="D56" s="23" t="s">
        <v>96</v>
      </c>
      <c r="E56" s="23" t="s">
        <v>112</v>
      </c>
      <c r="F56" s="25" t="n">
        <v>4500</v>
      </c>
      <c r="G56" s="26"/>
      <c r="H56" s="25" t="n">
        <f aca="false">IF($A56="","",$D$13)</f>
        <v>1316.64032634033</v>
      </c>
      <c r="I56" s="36" t="n">
        <f aca="false">IF($A56="","",N(F56)*(1-N(G56))+N(H56))</f>
        <v>5816.64032634033</v>
      </c>
      <c r="J56" s="36" t="n">
        <f aca="false">IF($A56="","",CEILING(I56*$B$18,500))</f>
        <v>12000</v>
      </c>
      <c r="K56" s="29" t="n">
        <v>11500</v>
      </c>
      <c r="L56" s="33" t="n">
        <f aca="false">IF(OR($A56="",N(K56)=0),"",K56-K56*$B$19-N(I56))</f>
        <v>5683.35967365967</v>
      </c>
      <c r="M56" s="35" t="n">
        <f aca="false">IF(OR($A56="",N(K56)=0),"",N(L56)/K56)</f>
        <v>0.494205189013885</v>
      </c>
      <c r="N56" s="2"/>
    </row>
    <row r="57" customFormat="false" ht="15.75" hidden="false" customHeight="true" outlineLevel="0" collapsed="false">
      <c r="A57" s="22" t="s">
        <v>113</v>
      </c>
      <c r="B57" s="23" t="s">
        <v>95</v>
      </c>
      <c r="C57" s="23" t="s">
        <v>69</v>
      </c>
      <c r="D57" s="23" t="s">
        <v>96</v>
      </c>
      <c r="E57" s="23" t="s">
        <v>114</v>
      </c>
      <c r="F57" s="25" t="n">
        <v>6500</v>
      </c>
      <c r="G57" s="26"/>
      <c r="H57" s="25" t="n">
        <f aca="false">IF($A57="","",$D$13)</f>
        <v>1316.64032634033</v>
      </c>
      <c r="I57" s="36" t="n">
        <f aca="false">IF($A57="","",N(F57)*(1-N(G57))+N(H57))</f>
        <v>7816.64032634033</v>
      </c>
      <c r="J57" s="36" t="n">
        <f aca="false">IF($A57="","",CEILING(I57*$B$18,500))</f>
        <v>16000</v>
      </c>
      <c r="K57" s="29" t="n">
        <v>13000</v>
      </c>
      <c r="L57" s="33" t="n">
        <f aca="false">IF(OR($A57="",N(K57)=0),"",K57-K57*$B$19-N(I57))</f>
        <v>5183.35967365967</v>
      </c>
      <c r="M57" s="35" t="n">
        <f aca="false">IF(OR($A57="",N(K57)=0),"",N(L57)/K57)</f>
        <v>0.398719974896898</v>
      </c>
      <c r="N57" s="2"/>
    </row>
    <row r="58" customFormat="false" ht="15.75" hidden="false" customHeight="true" outlineLevel="0" collapsed="false">
      <c r="A58" s="22" t="s">
        <v>115</v>
      </c>
      <c r="B58" s="23" t="s">
        <v>95</v>
      </c>
      <c r="C58" s="23" t="s">
        <v>69</v>
      </c>
      <c r="D58" s="23" t="s">
        <v>96</v>
      </c>
      <c r="E58" s="23" t="s">
        <v>116</v>
      </c>
      <c r="F58" s="25" t="n">
        <v>5500</v>
      </c>
      <c r="G58" s="26"/>
      <c r="H58" s="25" t="n">
        <f aca="false">IF($A58="","",$D$13)</f>
        <v>1316.64032634033</v>
      </c>
      <c r="I58" s="36" t="n">
        <f aca="false">IF($A58="","",N(F58)*(1-N(G58))+N(H58))</f>
        <v>6816.64032634033</v>
      </c>
      <c r="J58" s="36" t="n">
        <f aca="false">IF($A58="","",CEILING(I58*$B$18,500))</f>
        <v>14000</v>
      </c>
      <c r="K58" s="29" t="n">
        <v>12000</v>
      </c>
      <c r="L58" s="33" t="n">
        <f aca="false">IF(OR($A58="",N(K58)=0),"",K58-K58*$B$19-N(I58))</f>
        <v>5183.35967365967</v>
      </c>
      <c r="M58" s="35" t="n">
        <f aca="false">IF(OR($A58="",N(K58)=0),"",N(L58)/K58)</f>
        <v>0.431946639471639</v>
      </c>
      <c r="N58" s="2"/>
    </row>
    <row r="59" customFormat="false" ht="15.75" hidden="false" customHeight="true" outlineLevel="0" collapsed="false">
      <c r="A59" s="22"/>
      <c r="B59" s="23"/>
      <c r="C59" s="23"/>
      <c r="D59" s="23"/>
      <c r="E59" s="32"/>
      <c r="F59" s="25"/>
      <c r="G59" s="26"/>
      <c r="H59" s="25" t="str">
        <f aca="false">IF($A59="","",$D$13)</f>
        <v/>
      </c>
      <c r="I59" s="36" t="str">
        <f aca="false">IF($A59="","",N(F59)*(1-N(G59))+N(H59))</f>
        <v/>
      </c>
      <c r="J59" s="36" t="str">
        <f aca="false">IF($A59="","",CEILING(I59*$B$18,500))</f>
        <v/>
      </c>
      <c r="K59" s="29"/>
      <c r="L59" s="33" t="str">
        <f aca="false">IF(OR($A59="",N(K59)=0),"",K59-K59*$B$19-N(I59))</f>
        <v/>
      </c>
      <c r="M59" s="35" t="str">
        <f aca="false">IF(OR($A59="",N(K59)=0),"",N(L59)/K59)</f>
        <v/>
      </c>
      <c r="N59" s="2"/>
    </row>
    <row r="60" customFormat="false" ht="15.75" hidden="false" customHeight="true" outlineLevel="0" collapsed="false">
      <c r="A60" s="22" t="s">
        <v>117</v>
      </c>
      <c r="B60" s="23" t="s">
        <v>47</v>
      </c>
      <c r="C60" s="23" t="s">
        <v>48</v>
      </c>
      <c r="D60" s="23" t="s">
        <v>118</v>
      </c>
      <c r="E60" s="23" t="s">
        <v>119</v>
      </c>
      <c r="F60" s="25" t="n">
        <v>3550</v>
      </c>
      <c r="G60" s="26"/>
      <c r="H60" s="25" t="n">
        <f aca="false">IF($A60="","",$D$13)</f>
        <v>1316.64032634033</v>
      </c>
      <c r="I60" s="36" t="n">
        <f aca="false">IF($A60="","",N(F60)*(1-N(G60))+N(H60))</f>
        <v>4866.64032634033</v>
      </c>
      <c r="J60" s="36" t="n">
        <f aca="false">IF($A60="","",CEILING(I60*$B$18,500))</f>
        <v>10000</v>
      </c>
      <c r="K60" s="29" t="n">
        <v>12000</v>
      </c>
      <c r="L60" s="33" t="n">
        <f aca="false">IF(OR($A60="",N(K60)=0),"",K60-K60*$B$19-N(I60))</f>
        <v>7133.35967365967</v>
      </c>
      <c r="M60" s="35" t="n">
        <f aca="false">IF(OR($A60="",N(K60)=0),"",N(L60)/K60)</f>
        <v>0.594446639471639</v>
      </c>
      <c r="N60" s="2"/>
    </row>
    <row r="61" customFormat="false" ht="15.75" hidden="false" customHeight="true" outlineLevel="0" collapsed="false">
      <c r="A61" s="22" t="s">
        <v>120</v>
      </c>
      <c r="B61" s="23" t="s">
        <v>47</v>
      </c>
      <c r="C61" s="23" t="s">
        <v>48</v>
      </c>
      <c r="D61" s="23" t="s">
        <v>118</v>
      </c>
      <c r="E61" s="32" t="s">
        <v>121</v>
      </c>
      <c r="F61" s="25" t="n">
        <v>13500</v>
      </c>
      <c r="G61" s="26"/>
      <c r="H61" s="25" t="n">
        <f aca="false">IF($A61="","",$D$13)</f>
        <v>1316.64032634033</v>
      </c>
      <c r="I61" s="36" t="n">
        <f aca="false">IF($A61="","",N(F61)*(1-N(G61))+N(H61))</f>
        <v>14816.6403263403</v>
      </c>
      <c r="J61" s="36" t="n">
        <f aca="false">IF($A61="","",CEILING(I61*$B$18,500))</f>
        <v>30000</v>
      </c>
      <c r="K61" s="29" t="n">
        <v>25000</v>
      </c>
      <c r="L61" s="33" t="n">
        <f aca="false">IF(OR($A61="",N(K61)=0),"",K61-K61*$B$19-N(I61))</f>
        <v>10183.3596736597</v>
      </c>
      <c r="M61" s="35" t="n">
        <f aca="false">IF(OR($A61="",N(K61)=0),"",N(L61)/K61)</f>
        <v>0.407334386946387</v>
      </c>
      <c r="N61" s="2"/>
    </row>
    <row r="62" customFormat="false" ht="15.75" hidden="false" customHeight="true" outlineLevel="0" collapsed="false">
      <c r="A62" s="22" t="s">
        <v>122</v>
      </c>
      <c r="B62" s="23" t="s">
        <v>47</v>
      </c>
      <c r="C62" s="23" t="s">
        <v>48</v>
      </c>
      <c r="D62" s="23" t="s">
        <v>118</v>
      </c>
      <c r="E62" s="24" t="s">
        <v>123</v>
      </c>
      <c r="F62" s="25" t="n">
        <v>15550</v>
      </c>
      <c r="G62" s="26"/>
      <c r="H62" s="25" t="n">
        <f aca="false">IF($A62="","",$D$13)</f>
        <v>1316.64032634033</v>
      </c>
      <c r="I62" s="36" t="n">
        <f aca="false">IF($A62="","",N(F62)*(1-N(G62))+N(H62))</f>
        <v>16866.6403263403</v>
      </c>
      <c r="J62" s="36" t="n">
        <f aca="false">IF($A62="","",CEILING(I62*$B$18,500))</f>
        <v>34000</v>
      </c>
      <c r="K62" s="29" t="n">
        <v>27000</v>
      </c>
      <c r="L62" s="33" t="n">
        <f aca="false">IF(OR($A62="",N(K62)=0),"",K62-K62*$B$19-N(I62))</f>
        <v>10133.3596736597</v>
      </c>
      <c r="M62" s="35" t="n">
        <f aca="false">IF(OR($A62="",N(K62)=0),"",N(L62)/K62)</f>
        <v>0.375309617542951</v>
      </c>
      <c r="N62" s="2"/>
    </row>
    <row r="63" customFormat="false" ht="15.75" hidden="false" customHeight="true" outlineLevel="0" collapsed="false">
      <c r="A63" s="22" t="s">
        <v>124</v>
      </c>
      <c r="B63" s="23" t="s">
        <v>47</v>
      </c>
      <c r="C63" s="23" t="s">
        <v>48</v>
      </c>
      <c r="D63" s="23" t="s">
        <v>118</v>
      </c>
      <c r="E63" s="32" t="s">
        <v>123</v>
      </c>
      <c r="F63" s="25" t="n">
        <v>1950</v>
      </c>
      <c r="G63" s="26"/>
      <c r="H63" s="25" t="n">
        <f aca="false">IF($A63="","",$D$13)</f>
        <v>1316.64032634033</v>
      </c>
      <c r="I63" s="36" t="n">
        <f aca="false">IF($A63="","",N(F63)*(1-N(G63))+N(H63))</f>
        <v>3266.64032634033</v>
      </c>
      <c r="J63" s="36" t="n">
        <f aca="false">IF($A63="","",CEILING(I63*$B$18,500))</f>
        <v>7000</v>
      </c>
      <c r="K63" s="29" t="n">
        <v>7000</v>
      </c>
      <c r="L63" s="33" t="n">
        <f aca="false">IF(OR($A63="",N(K63)=0),"",K63-K63*$B$19-N(I63))</f>
        <v>3733.35967365967</v>
      </c>
      <c r="M63" s="35" t="n">
        <f aca="false">IF(OR($A63="",N(K63)=0),"",N(L63)/K63)</f>
        <v>0.533337096237096</v>
      </c>
      <c r="N63" s="2"/>
    </row>
    <row r="64" customFormat="false" ht="15.75" hidden="false" customHeight="true" outlineLevel="0" collapsed="false">
      <c r="A64" s="22" t="s">
        <v>125</v>
      </c>
      <c r="B64" s="23" t="s">
        <v>47</v>
      </c>
      <c r="C64" s="23" t="s">
        <v>69</v>
      </c>
      <c r="D64" s="23" t="s">
        <v>118</v>
      </c>
      <c r="E64" s="24" t="s">
        <v>126</v>
      </c>
      <c r="F64" s="25" t="n">
        <v>13750</v>
      </c>
      <c r="G64" s="26"/>
      <c r="H64" s="25" t="n">
        <f aca="false">IF($A64="","",$D$13)</f>
        <v>1316.64032634033</v>
      </c>
      <c r="I64" s="36" t="n">
        <f aca="false">IF($A64="","",N(F64)*(1-N(G64))+N(H64))</f>
        <v>15066.6403263403</v>
      </c>
      <c r="J64" s="36" t="n">
        <f aca="false">IF($A64="","",CEILING(I64*$B$18,500))</f>
        <v>30500</v>
      </c>
      <c r="K64" s="29" t="n">
        <v>23500</v>
      </c>
      <c r="L64" s="33" t="n">
        <f aca="false">IF(OR($A64="",N(K64)=0),"",K64-K64*$B$19-N(I64))</f>
        <v>8433.35967365967</v>
      </c>
      <c r="M64" s="35" t="n">
        <f aca="false">IF(OR($A64="",N(K64)=0),"",N(L64)/K64)</f>
        <v>0.358866369091901</v>
      </c>
      <c r="N64" s="2"/>
    </row>
    <row r="65" customFormat="false" ht="15.75" hidden="false" customHeight="true" outlineLevel="0" collapsed="false">
      <c r="A65" s="22" t="s">
        <v>127</v>
      </c>
      <c r="B65" s="23" t="s">
        <v>47</v>
      </c>
      <c r="C65" s="23" t="s">
        <v>69</v>
      </c>
      <c r="D65" s="23" t="s">
        <v>118</v>
      </c>
      <c r="E65" s="32" t="s">
        <v>128</v>
      </c>
      <c r="F65" s="25" t="n">
        <v>15400</v>
      </c>
      <c r="G65" s="26"/>
      <c r="H65" s="25" t="n">
        <f aca="false">IF($A65="","",$D$13)</f>
        <v>1316.64032634033</v>
      </c>
      <c r="I65" s="36" t="n">
        <f aca="false">IF($A65="","",N(F65)*(1-N(G65))+N(H65))</f>
        <v>16716.6403263403</v>
      </c>
      <c r="J65" s="36" t="n">
        <f aca="false">IF($A65="","",CEILING(I65*$B$18,500))</f>
        <v>33500</v>
      </c>
      <c r="K65" s="29" t="n">
        <v>25000</v>
      </c>
      <c r="L65" s="33" t="n">
        <f aca="false">IF(OR($A65="",N(K65)=0),"",K65-K65*$B$19-N(I65))</f>
        <v>8283.35967365967</v>
      </c>
      <c r="M65" s="35" t="n">
        <f aca="false">IF(OR($A65="",N(K65)=0),"",N(L65)/K65)</f>
        <v>0.331334386946387</v>
      </c>
      <c r="N65" s="2"/>
    </row>
    <row r="66" customFormat="false" ht="15.75" hidden="false" customHeight="true" outlineLevel="0" collapsed="false">
      <c r="A66" s="22" t="s">
        <v>129</v>
      </c>
      <c r="B66" s="23" t="s">
        <v>47</v>
      </c>
      <c r="C66" s="23" t="s">
        <v>69</v>
      </c>
      <c r="D66" s="23" t="s">
        <v>118</v>
      </c>
      <c r="E66" s="24" t="s">
        <v>130</v>
      </c>
      <c r="F66" s="25" t="n">
        <v>16950</v>
      </c>
      <c r="G66" s="26"/>
      <c r="H66" s="25" t="n">
        <f aca="false">IF($A66="","",$D$13)</f>
        <v>1316.64032634033</v>
      </c>
      <c r="I66" s="36" t="n">
        <f aca="false">IF($A66="","",N(F66)*(1-N(G66))+N(H66))</f>
        <v>18266.6403263403</v>
      </c>
      <c r="J66" s="36" t="n">
        <f aca="false">IF($A66="","",CEILING(I66*$B$18,500))</f>
        <v>37000</v>
      </c>
      <c r="K66" s="29" t="n">
        <v>25500</v>
      </c>
      <c r="L66" s="33" t="n">
        <f aca="false">IF(OR($A66="",N(K66)=0),"",K66-K66*$B$19-N(I66))</f>
        <v>7233.35967365967</v>
      </c>
      <c r="M66" s="35" t="n">
        <f aca="false">IF(OR($A66="",N(K66)=0),"",N(L66)/K66)</f>
        <v>0.283661163672928</v>
      </c>
      <c r="N66" s="2"/>
    </row>
    <row r="67" customFormat="false" ht="15.75" hidden="false" customHeight="true" outlineLevel="0" collapsed="false">
      <c r="A67" s="22" t="s">
        <v>131</v>
      </c>
      <c r="B67" s="23" t="s">
        <v>47</v>
      </c>
      <c r="C67" s="23" t="s">
        <v>69</v>
      </c>
      <c r="D67" s="23" t="s">
        <v>118</v>
      </c>
      <c r="E67" s="32" t="s">
        <v>132</v>
      </c>
      <c r="F67" s="25" t="n">
        <v>11600</v>
      </c>
      <c r="G67" s="26"/>
      <c r="H67" s="25" t="n">
        <f aca="false">IF($A67="","",$D$13)</f>
        <v>1316.64032634033</v>
      </c>
      <c r="I67" s="36" t="n">
        <f aca="false">IF($A67="","",N(F67)*(1-N(G67))+N(H67))</f>
        <v>12916.6403263403</v>
      </c>
      <c r="J67" s="36" t="n">
        <f aca="false">IF($A67="","",CEILING(I67*$B$18,500))</f>
        <v>26000</v>
      </c>
      <c r="K67" s="29" t="n">
        <v>20000</v>
      </c>
      <c r="L67" s="33" t="n">
        <f aca="false">IF(OR($A67="",N(K67)=0),"",K67-K67*$B$19-N(I67))</f>
        <v>7083.35967365967</v>
      </c>
      <c r="M67" s="35" t="n">
        <f aca="false">IF(OR($A67="",N(K67)=0),"",N(L67)/K67)</f>
        <v>0.354167983682984</v>
      </c>
      <c r="N67" s="2"/>
    </row>
    <row r="68" customFormat="false" ht="15.75" hidden="false" customHeight="true" outlineLevel="0" collapsed="false">
      <c r="A68" s="22" t="s">
        <v>133</v>
      </c>
      <c r="B68" s="23" t="s">
        <v>47</v>
      </c>
      <c r="C68" s="23" t="s">
        <v>78</v>
      </c>
      <c r="D68" s="23" t="s">
        <v>118</v>
      </c>
      <c r="E68" s="32" t="s">
        <v>134</v>
      </c>
      <c r="F68" s="25" t="n">
        <v>17250</v>
      </c>
      <c r="G68" s="26"/>
      <c r="H68" s="25" t="n">
        <f aca="false">IF($A68="","",$D$13)</f>
        <v>1316.64032634033</v>
      </c>
      <c r="I68" s="36" t="n">
        <f aca="false">IF($A68="","",N(F68)*(1-N(G68))+N(H68))</f>
        <v>18566.6403263403</v>
      </c>
      <c r="J68" s="36" t="n">
        <f aca="false">IF($A68="","",CEILING(I68*$B$18,500))</f>
        <v>37500</v>
      </c>
      <c r="K68" s="29" t="n">
        <v>30000</v>
      </c>
      <c r="L68" s="33" t="n">
        <f aca="false">IF(OR($A68="",N(K68)=0),"",K68-K68*$B$19-N(I68))</f>
        <v>11433.3596736597</v>
      </c>
      <c r="M68" s="35" t="n">
        <f aca="false">IF(OR($A68="",N(K68)=0),"",N(L68)/K68)</f>
        <v>0.381111989121989</v>
      </c>
      <c r="N68" s="2"/>
    </row>
    <row r="69" customFormat="false" ht="15.75" hidden="false" customHeight="true" outlineLevel="0" collapsed="false">
      <c r="A69" s="22" t="s">
        <v>135</v>
      </c>
      <c r="B69" s="23" t="s">
        <v>47</v>
      </c>
      <c r="C69" s="23" t="s">
        <v>78</v>
      </c>
      <c r="D69" s="23" t="s">
        <v>118</v>
      </c>
      <c r="E69" s="32" t="s">
        <v>136</v>
      </c>
      <c r="F69" s="25" t="n">
        <v>18150</v>
      </c>
      <c r="G69" s="26"/>
      <c r="H69" s="25" t="n">
        <f aca="false">IF($A69="","",$D$13)</f>
        <v>1316.64032634033</v>
      </c>
      <c r="I69" s="36" t="n">
        <f aca="false">IF($A69="","",N(F69)*(1-N(G69))+N(H69))</f>
        <v>19466.6403263403</v>
      </c>
      <c r="J69" s="36" t="n">
        <f aca="false">IF($A69="","",CEILING(I69*$B$18,500))</f>
        <v>39000</v>
      </c>
      <c r="K69" s="29" t="n">
        <v>31000</v>
      </c>
      <c r="L69" s="33" t="n">
        <f aca="false">IF(OR($A69="",N(K69)=0),"",K69-K69*$B$19-N(I69))</f>
        <v>11533.3596736597</v>
      </c>
      <c r="M69" s="35" t="n">
        <f aca="false">IF(OR($A69="",N(K69)=0),"",N(L69)/K69)</f>
        <v>0.372043860440635</v>
      </c>
      <c r="N69" s="2"/>
    </row>
    <row r="70" customFormat="false" ht="15.75" hidden="false" customHeight="true" outlineLevel="0" collapsed="false">
      <c r="A70" s="22" t="s">
        <v>137</v>
      </c>
      <c r="B70" s="23" t="s">
        <v>47</v>
      </c>
      <c r="C70" s="23" t="s">
        <v>78</v>
      </c>
      <c r="D70" s="23" t="s">
        <v>118</v>
      </c>
      <c r="E70" s="32" t="s">
        <v>138</v>
      </c>
      <c r="F70" s="25" t="n">
        <v>17600</v>
      </c>
      <c r="G70" s="26"/>
      <c r="H70" s="25" t="n">
        <f aca="false">IF($A70="","",$D$13)</f>
        <v>1316.64032634033</v>
      </c>
      <c r="I70" s="36" t="n">
        <f aca="false">IF($A70="","",N(F70)*(1-N(G70))+N(H70))</f>
        <v>18916.6403263403</v>
      </c>
      <c r="J70" s="36" t="n">
        <f aca="false">IF($A70="","",CEILING(I70*$B$18,500))</f>
        <v>38000</v>
      </c>
      <c r="K70" s="29" t="n">
        <v>28000</v>
      </c>
      <c r="L70" s="33" t="n">
        <f aca="false">IF(OR($A70="",N(K70)=0),"",K70-K70*$B$19-N(I70))</f>
        <v>9083.35967365967</v>
      </c>
      <c r="M70" s="35" t="n">
        <f aca="false">IF(OR($A70="",N(K70)=0),"",N(L70)/K70)</f>
        <v>0.324405702630703</v>
      </c>
      <c r="N70" s="2"/>
    </row>
    <row r="71" customFormat="false" ht="15.75" hidden="false" customHeight="true" outlineLevel="0" collapsed="false">
      <c r="A71" s="22"/>
      <c r="B71" s="23"/>
      <c r="C71" s="23"/>
      <c r="D71" s="23"/>
      <c r="E71" s="32" t="s">
        <v>138</v>
      </c>
      <c r="F71" s="25"/>
      <c r="G71" s="26"/>
      <c r="H71" s="25" t="str">
        <f aca="false">IF($A71="","",$D$13)</f>
        <v/>
      </c>
      <c r="I71" s="36" t="str">
        <f aca="false">IF($A71="","",N(F71)*(1-N(G71))+N(H71))</f>
        <v/>
      </c>
      <c r="J71" s="36" t="str">
        <f aca="false">IF($A71="","",CEILING(I71*$B$18,500))</f>
        <v/>
      </c>
      <c r="K71" s="29"/>
      <c r="L71" s="33" t="str">
        <f aca="false">IF(OR($A71="",N(K71)=0),"",K71-K71*$B$19-N(I71))</f>
        <v/>
      </c>
      <c r="M71" s="35" t="str">
        <f aca="false">IF(OR($A71="",N(K71)=0),"",N(L71)/K71)</f>
        <v/>
      </c>
      <c r="N71" s="2"/>
    </row>
    <row r="72" customFormat="false" ht="15.75" hidden="false" customHeight="true" outlineLevel="0" collapsed="false">
      <c r="A72" s="22" t="s">
        <v>139</v>
      </c>
      <c r="B72" s="23" t="s">
        <v>140</v>
      </c>
      <c r="C72" s="23" t="s">
        <v>69</v>
      </c>
      <c r="D72" s="23" t="s">
        <v>141</v>
      </c>
      <c r="E72" s="32" t="s">
        <v>142</v>
      </c>
      <c r="F72" s="25" t="n">
        <v>8424</v>
      </c>
      <c r="G72" s="26"/>
      <c r="H72" s="25" t="n">
        <f aca="false">IF($A72="","",$D$13)</f>
        <v>1316.64032634033</v>
      </c>
      <c r="I72" s="36" t="n">
        <f aca="false">IF($A72="","",N(F72)*(1-N(G72))+N(H72))</f>
        <v>9740.64032634033</v>
      </c>
      <c r="J72" s="36" t="n">
        <f aca="false">IF($A72="","",CEILING(I72*$B$18,500))</f>
        <v>19500</v>
      </c>
      <c r="K72" s="29" t="n">
        <v>18000</v>
      </c>
      <c r="L72" s="33" t="n">
        <f aca="false">IF(OR($A72="",N(K72)=0),"",K72-K72*$B$19-N(I72))</f>
        <v>8259.35967365967</v>
      </c>
      <c r="M72" s="35" t="n">
        <f aca="false">IF(OR($A72="",N(K72)=0),"",N(L72)/K72)</f>
        <v>0.458853315203315</v>
      </c>
      <c r="N72" s="2"/>
    </row>
    <row r="73" customFormat="false" ht="15.75" hidden="false" customHeight="true" outlineLevel="0" collapsed="false">
      <c r="A73" s="22" t="s">
        <v>143</v>
      </c>
      <c r="B73" s="23" t="s">
        <v>140</v>
      </c>
      <c r="C73" s="23" t="s">
        <v>69</v>
      </c>
      <c r="D73" s="23" t="s">
        <v>141</v>
      </c>
      <c r="E73" s="32" t="s">
        <v>144</v>
      </c>
      <c r="F73" s="25" t="n">
        <v>3541</v>
      </c>
      <c r="G73" s="26"/>
      <c r="H73" s="25" t="n">
        <f aca="false">IF($A73="","",$D$13)</f>
        <v>1316.64032634033</v>
      </c>
      <c r="I73" s="36" t="n">
        <f aca="false">IF($A73="","",N(F73)*(1-N(G73))+N(H73))</f>
        <v>4857.64032634033</v>
      </c>
      <c r="J73" s="36" t="n">
        <f aca="false">IF($A73="","",CEILING(I73*$B$18,500))</f>
        <v>10000</v>
      </c>
      <c r="K73" s="29" t="n">
        <v>13000</v>
      </c>
      <c r="L73" s="33" t="n">
        <f aca="false">IF(OR($A73="",N(K73)=0),"",K73-K73*$B$19-N(I73))</f>
        <v>8142.35967365967</v>
      </c>
      <c r="M73" s="35" t="n">
        <f aca="false">IF(OR($A73="",N(K73)=0),"",N(L73)/K73)</f>
        <v>0.626335359512283</v>
      </c>
      <c r="N73" s="2"/>
    </row>
    <row r="74" customFormat="false" ht="15.75" hidden="false" customHeight="true" outlineLevel="0" collapsed="false">
      <c r="A74" s="22" t="s">
        <v>145</v>
      </c>
      <c r="B74" s="23" t="s">
        <v>95</v>
      </c>
      <c r="C74" s="23" t="s">
        <v>69</v>
      </c>
      <c r="D74" s="23" t="s">
        <v>141</v>
      </c>
      <c r="E74" s="32" t="s">
        <v>144</v>
      </c>
      <c r="F74" s="25" t="n">
        <v>2603</v>
      </c>
      <c r="G74" s="26"/>
      <c r="H74" s="25" t="n">
        <f aca="false">IF($A74="","",$D$13)</f>
        <v>1316.64032634033</v>
      </c>
      <c r="I74" s="36" t="n">
        <f aca="false">IF($A74="","",N(F74)*(1-N(G74))+N(H74))</f>
        <v>3919.64032634033</v>
      </c>
      <c r="J74" s="36" t="n">
        <f aca="false">IF($A74="","",CEILING(I74*$B$18,500))</f>
        <v>8000</v>
      </c>
      <c r="K74" s="29" t="n">
        <v>13000</v>
      </c>
      <c r="L74" s="33" t="n">
        <f aca="false">IF(OR($A74="",N(K74)=0),"",K74-K74*$B$19-N(I74))</f>
        <v>9080.35967365967</v>
      </c>
      <c r="M74" s="35" t="n">
        <f aca="false">IF(OR($A74="",N(K74)=0),"",N(L74)/K74)</f>
        <v>0.698489205666129</v>
      </c>
      <c r="N74" s="2"/>
    </row>
    <row r="75" customFormat="false" ht="15.75" hidden="false" customHeight="true" outlineLevel="0" collapsed="false">
      <c r="A75" s="22" t="s">
        <v>146</v>
      </c>
      <c r="B75" s="23" t="s">
        <v>95</v>
      </c>
      <c r="C75" s="23" t="s">
        <v>69</v>
      </c>
      <c r="D75" s="23" t="s">
        <v>141</v>
      </c>
      <c r="E75" s="32" t="s">
        <v>147</v>
      </c>
      <c r="F75" s="25" t="n">
        <v>2877</v>
      </c>
      <c r="G75" s="26"/>
      <c r="H75" s="25" t="n">
        <f aca="false">IF($A75="","",$D$13)</f>
        <v>1316.64032634033</v>
      </c>
      <c r="I75" s="36" t="n">
        <f aca="false">IF($A75="","",N(F75)*(1-N(G75))+N(H75))</f>
        <v>4193.64032634033</v>
      </c>
      <c r="J75" s="36" t="n">
        <f aca="false">IF($A75="","",CEILING(I75*$B$18,500))</f>
        <v>8500</v>
      </c>
      <c r="K75" s="29" t="n">
        <v>12500</v>
      </c>
      <c r="L75" s="33" t="n">
        <f aca="false">IF(OR($A75="",N(K75)=0),"",K75-K75*$B$19-N(I75))</f>
        <v>8306.35967365967</v>
      </c>
      <c r="M75" s="35" t="n">
        <f aca="false">IF(OR($A75="",N(K75)=0),"",N(L75)/K75)</f>
        <v>0.664508773892774</v>
      </c>
      <c r="N75" s="2"/>
    </row>
    <row r="76" customFormat="false" ht="15.75" hidden="false" customHeight="true" outlineLevel="0" collapsed="false">
      <c r="A76" s="22" t="s">
        <v>148</v>
      </c>
      <c r="B76" s="23" t="s">
        <v>140</v>
      </c>
      <c r="C76" s="23" t="s">
        <v>78</v>
      </c>
      <c r="D76" s="23" t="s">
        <v>141</v>
      </c>
      <c r="E76" s="32" t="s">
        <v>149</v>
      </c>
      <c r="F76" s="25" t="n">
        <v>9595</v>
      </c>
      <c r="G76" s="26"/>
      <c r="H76" s="25" t="n">
        <f aca="false">IF($A76="","",$D$13)</f>
        <v>1316.64032634033</v>
      </c>
      <c r="I76" s="36" t="n">
        <f aca="false">IF($A76="","",N(F76)*(1-N(G76))+N(H76))</f>
        <v>10911.6403263403</v>
      </c>
      <c r="J76" s="36" t="n">
        <f aca="false">IF($A76="","",CEILING(I76*$B$18,500))</f>
        <v>22000</v>
      </c>
      <c r="K76" s="29" t="n">
        <v>24000</v>
      </c>
      <c r="L76" s="33" t="n">
        <f aca="false">IF(OR($A76="",N(K76)=0),"",K76-K76*$B$19-N(I76))</f>
        <v>13088.3596736597</v>
      </c>
      <c r="M76" s="35" t="n">
        <f aca="false">IF(OR($A76="",N(K76)=0),"",N(L76)/K76)</f>
        <v>0.54534831973582</v>
      </c>
      <c r="N76" s="2"/>
    </row>
    <row r="77" customFormat="false" ht="15.75" hidden="false" customHeight="true" outlineLevel="0" collapsed="false">
      <c r="A77" s="22" t="s">
        <v>150</v>
      </c>
      <c r="B77" s="23" t="s">
        <v>140</v>
      </c>
      <c r="C77" s="23" t="s">
        <v>78</v>
      </c>
      <c r="D77" s="23" t="s">
        <v>141</v>
      </c>
      <c r="E77" s="32" t="s">
        <v>151</v>
      </c>
      <c r="F77" s="25" t="n">
        <v>10425</v>
      </c>
      <c r="G77" s="26"/>
      <c r="H77" s="25" t="n">
        <f aca="false">IF($A77="","",$D$13)</f>
        <v>1316.64032634033</v>
      </c>
      <c r="I77" s="36" t="n">
        <f aca="false">IF($A77="","",N(F77)*(1-N(G77))+N(H77))</f>
        <v>11741.6403263403</v>
      </c>
      <c r="J77" s="36" t="n">
        <f aca="false">IF($A77="","",CEILING(I77*$B$18,500))</f>
        <v>23500</v>
      </c>
      <c r="K77" s="29" t="n">
        <v>24000</v>
      </c>
      <c r="L77" s="33" t="n">
        <f aca="false">IF(OR($A77="",N(K77)=0),"",K77-K77*$B$19-N(I77))</f>
        <v>12258.3596736597</v>
      </c>
      <c r="M77" s="35" t="n">
        <f aca="false">IF(OR($A77="",N(K77)=0),"",N(L77)/K77)</f>
        <v>0.510764986402486</v>
      </c>
      <c r="N77" s="2"/>
    </row>
    <row r="78" customFormat="false" ht="15.75" hidden="false" customHeight="true" outlineLevel="0" collapsed="false">
      <c r="A78" s="22" t="s">
        <v>152</v>
      </c>
      <c r="B78" s="23" t="s">
        <v>140</v>
      </c>
      <c r="C78" s="23" t="s">
        <v>48</v>
      </c>
      <c r="D78" s="23" t="s">
        <v>141</v>
      </c>
      <c r="E78" s="32" t="s">
        <v>153</v>
      </c>
      <c r="F78" s="25" t="n">
        <v>7648</v>
      </c>
      <c r="G78" s="26"/>
      <c r="H78" s="25" t="n">
        <f aca="false">IF($A78="","",$D$13)</f>
        <v>1316.64032634033</v>
      </c>
      <c r="I78" s="36" t="n">
        <f aca="false">IF($A78="","",N(F78)*(1-N(G78))+N(H78))</f>
        <v>8964.64032634033</v>
      </c>
      <c r="J78" s="36" t="n">
        <f aca="false">IF($A78="","",CEILING(I78*$B$18,500))</f>
        <v>18000</v>
      </c>
      <c r="K78" s="29" t="n">
        <v>16500</v>
      </c>
      <c r="L78" s="33" t="n">
        <f aca="false">IF(OR($A78="",N(K78)=0),"",K78-K78*$B$19-N(I78))</f>
        <v>7535.35967365967</v>
      </c>
      <c r="M78" s="35" t="n">
        <f aca="false">IF(OR($A78="",N(K78)=0),"",N(L78)/K78)</f>
        <v>0.456688465070283</v>
      </c>
      <c r="N78" s="2"/>
    </row>
    <row r="79" customFormat="false" ht="15.75" hidden="false" customHeight="true" outlineLevel="0" collapsed="false">
      <c r="A79" s="22" t="s">
        <v>154</v>
      </c>
      <c r="B79" s="23" t="s">
        <v>140</v>
      </c>
      <c r="C79" s="23" t="s">
        <v>48</v>
      </c>
      <c r="D79" s="23" t="s">
        <v>141</v>
      </c>
      <c r="E79" s="32" t="s">
        <v>155</v>
      </c>
      <c r="F79" s="25" t="n">
        <v>7282</v>
      </c>
      <c r="G79" s="26"/>
      <c r="H79" s="25" t="n">
        <f aca="false">IF($A79="","",$D$13)</f>
        <v>1316.64032634033</v>
      </c>
      <c r="I79" s="36" t="n">
        <f aca="false">IF($A79="","",N(F79)*(1-N(G79))+N(H79))</f>
        <v>8598.64032634033</v>
      </c>
      <c r="J79" s="36" t="n">
        <f aca="false">IF($A79="","",CEILING(I79*$B$18,500))</f>
        <v>17500</v>
      </c>
      <c r="K79" s="29" t="n">
        <v>15000</v>
      </c>
      <c r="L79" s="33" t="n">
        <f aca="false">IF(OR($A79="",N(K79)=0),"",K79-K79*$B$19-N(I79))</f>
        <v>6401.35967365967</v>
      </c>
      <c r="M79" s="35" t="n">
        <f aca="false">IF(OR($A79="",N(K79)=0),"",N(L79)/K79)</f>
        <v>0.426757311577312</v>
      </c>
      <c r="N79" s="2"/>
    </row>
    <row r="80" customFormat="false" ht="15.75" hidden="false" customHeight="true" outlineLevel="0" collapsed="false">
      <c r="A80" s="22" t="s">
        <v>156</v>
      </c>
      <c r="B80" s="23" t="s">
        <v>140</v>
      </c>
      <c r="C80" s="23" t="s">
        <v>48</v>
      </c>
      <c r="D80" s="23" t="s">
        <v>141</v>
      </c>
      <c r="E80" s="32" t="s">
        <v>157</v>
      </c>
      <c r="F80" s="25" t="n">
        <v>5776</v>
      </c>
      <c r="G80" s="26"/>
      <c r="H80" s="25" t="n">
        <f aca="false">IF($A80="","",$D$13)</f>
        <v>1316.64032634033</v>
      </c>
      <c r="I80" s="36" t="n">
        <f aca="false">IF($A80="","",N(F80)*(1-N(G80))+N(H80))</f>
        <v>7092.64032634033</v>
      </c>
      <c r="J80" s="36" t="n">
        <f aca="false">IF($A80="","",CEILING(I80*$B$18,500))</f>
        <v>14500</v>
      </c>
      <c r="K80" s="29" t="n">
        <v>15000</v>
      </c>
      <c r="L80" s="33" t="n">
        <f aca="false">IF(OR($A80="",N(K80)=0),"",K80-K80*$B$19-N(I80))</f>
        <v>7907.35967365967</v>
      </c>
      <c r="M80" s="35" t="n">
        <f aca="false">IF(OR($A80="",N(K80)=0),"",N(L80)/K80)</f>
        <v>0.527157311577312</v>
      </c>
      <c r="N80" s="2"/>
    </row>
    <row r="81" customFormat="false" ht="15.75" hidden="false" customHeight="true" outlineLevel="0" collapsed="false">
      <c r="A81" s="22" t="s">
        <v>158</v>
      </c>
      <c r="B81" s="23" t="s">
        <v>140</v>
      </c>
      <c r="C81" s="23" t="s">
        <v>48</v>
      </c>
      <c r="D81" s="23" t="s">
        <v>141</v>
      </c>
      <c r="E81" s="32" t="s">
        <v>159</v>
      </c>
      <c r="F81" s="25" t="n">
        <v>5883</v>
      </c>
      <c r="G81" s="26"/>
      <c r="H81" s="25" t="n">
        <f aca="false">IF($A81="","",$D$13)</f>
        <v>1316.64032634033</v>
      </c>
      <c r="I81" s="36" t="n">
        <f aca="false">IF($A81="","",N(F81)*(1-N(G81))+N(H81))</f>
        <v>7199.64032634033</v>
      </c>
      <c r="J81" s="36" t="n">
        <f aca="false">IF($A81="","",CEILING(I81*$B$18,500))</f>
        <v>14500</v>
      </c>
      <c r="K81" s="29" t="n">
        <v>15000</v>
      </c>
      <c r="L81" s="33" t="n">
        <f aca="false">IF(OR($A81="",N(K81)=0),"",K81-K81*$B$19-N(I81))</f>
        <v>7800.35967365967</v>
      </c>
      <c r="M81" s="35" t="n">
        <f aca="false">IF(OR($A81="",N(K81)=0),"",N(L81)/K81)</f>
        <v>0.520023978243978</v>
      </c>
      <c r="N81" s="2"/>
    </row>
    <row r="82" customFormat="false" ht="15.75" hidden="false" customHeight="true" outlineLevel="0" collapsed="false">
      <c r="A82" s="22" t="s">
        <v>160</v>
      </c>
      <c r="B82" s="23" t="s">
        <v>95</v>
      </c>
      <c r="C82" s="23" t="s">
        <v>78</v>
      </c>
      <c r="D82" s="23" t="s">
        <v>141</v>
      </c>
      <c r="E82" s="32" t="s">
        <v>161</v>
      </c>
      <c r="F82" s="25" t="n">
        <v>5410</v>
      </c>
      <c r="G82" s="26"/>
      <c r="H82" s="25" t="n">
        <f aca="false">IF($A82="","",$D$13)</f>
        <v>1316.64032634033</v>
      </c>
      <c r="I82" s="36" t="n">
        <f aca="false">IF($A82="","",N(F82)*(1-N(G82))+N(H82))</f>
        <v>6726.64032634033</v>
      </c>
      <c r="J82" s="36" t="n">
        <f aca="false">IF($A82="","",CEILING(I82*$B$18,500))</f>
        <v>13500</v>
      </c>
      <c r="K82" s="29" t="n">
        <v>15000</v>
      </c>
      <c r="L82" s="33" t="n">
        <f aca="false">IF(OR($A82="",N(K82)=0),"",K82-K82*$B$19-N(I82))</f>
        <v>8273.35967365967</v>
      </c>
      <c r="M82" s="35" t="n">
        <f aca="false">IF(OR($A82="",N(K82)=0),"",N(L82)/K82)</f>
        <v>0.551557311577312</v>
      </c>
      <c r="N82" s="2"/>
    </row>
    <row r="83" customFormat="false" ht="15.75" hidden="false" customHeight="true" outlineLevel="0" collapsed="false">
      <c r="A83" s="22" t="s">
        <v>162</v>
      </c>
      <c r="B83" s="23" t="s">
        <v>140</v>
      </c>
      <c r="C83" s="23" t="s">
        <v>48</v>
      </c>
      <c r="D83" s="23" t="s">
        <v>141</v>
      </c>
      <c r="E83" s="32" t="s">
        <v>161</v>
      </c>
      <c r="F83" s="25" t="n">
        <v>1707</v>
      </c>
      <c r="G83" s="26"/>
      <c r="H83" s="25" t="n">
        <f aca="false">IF($A83="","",$D$13)</f>
        <v>1316.64032634033</v>
      </c>
      <c r="I83" s="36" t="n">
        <f aca="false">IF($A83="","",N(F83)*(1-N(G83))+N(H83))</f>
        <v>3023.64032634033</v>
      </c>
      <c r="J83" s="36" t="n">
        <f aca="false">IF($A83="","",CEILING(I83*$B$18,500))</f>
        <v>6500</v>
      </c>
      <c r="K83" s="29" t="n">
        <v>9000</v>
      </c>
      <c r="L83" s="33" t="n">
        <f aca="false">IF(OR($A83="",N(K83)=0),"",K83-K83*$B$19-N(I83))</f>
        <v>5976.35967365967</v>
      </c>
      <c r="M83" s="35" t="n">
        <f aca="false">IF(OR($A83="",N(K83)=0),"",N(L83)/K83)</f>
        <v>0.664039963739964</v>
      </c>
      <c r="N83" s="2"/>
    </row>
    <row r="84" customFormat="false" ht="15.75" hidden="false" customHeight="true" outlineLevel="0" collapsed="false">
      <c r="A84" s="22" t="s">
        <v>163</v>
      </c>
      <c r="B84" s="23" t="s">
        <v>140</v>
      </c>
      <c r="C84" s="23" t="s">
        <v>48</v>
      </c>
      <c r="D84" s="23" t="s">
        <v>141</v>
      </c>
      <c r="E84" s="32"/>
      <c r="F84" s="25" t="n">
        <v>1707</v>
      </c>
      <c r="G84" s="26"/>
      <c r="H84" s="25" t="n">
        <f aca="false">IF($A84="","",$D$13)</f>
        <v>1316.64032634033</v>
      </c>
      <c r="I84" s="36" t="n">
        <f aca="false">IF($A84="","",N(F84)*(1-N(G84))+N(H84))</f>
        <v>3023.64032634033</v>
      </c>
      <c r="J84" s="36" t="n">
        <f aca="false">IF($A84="","",CEILING(I84*$B$18,500))</f>
        <v>6500</v>
      </c>
      <c r="K84" s="29" t="n">
        <v>9000</v>
      </c>
      <c r="L84" s="33" t="n">
        <f aca="false">IF(OR($A84="",N(K84)=0),"",K84-K84*$B$19-N(I84))</f>
        <v>5976.35967365967</v>
      </c>
      <c r="M84" s="35" t="n">
        <f aca="false">IF(OR($A84="",N(K84)=0),"",N(L84)/K84)</f>
        <v>0.664039963739964</v>
      </c>
      <c r="N84" s="2"/>
    </row>
    <row r="85" customFormat="false" ht="15.75" hidden="false" customHeight="true" outlineLevel="0" collapsed="false">
      <c r="A85" s="22"/>
      <c r="B85" s="23"/>
      <c r="C85" s="23"/>
      <c r="D85" s="23" t="s">
        <v>141</v>
      </c>
      <c r="E85" s="32"/>
      <c r="F85" s="25"/>
      <c r="G85" s="26"/>
      <c r="H85" s="25" t="str">
        <f aca="false">IF($A85="","",$D$13)</f>
        <v/>
      </c>
      <c r="I85" s="36" t="str">
        <f aca="false">IF($A85="","",N(F85)*(1-N(G85))+N(H85))</f>
        <v/>
      </c>
      <c r="J85" s="36" t="str">
        <f aca="false">IF($A85="","",CEILING(I85*$B$18,500))</f>
        <v/>
      </c>
      <c r="K85" s="29" t="n">
        <v>10000</v>
      </c>
      <c r="L85" s="33" t="str">
        <f aca="false">IF(OR($A85="",N(K85)=0),"",K85-K85*$B$19-N(I85))</f>
        <v/>
      </c>
      <c r="M85" s="35" t="str">
        <f aca="false">IF(OR($A85="",N(K85)=0),"",N(L85)/K85)</f>
        <v/>
      </c>
      <c r="N85" s="2"/>
    </row>
    <row r="86" customFormat="false" ht="15.75" hidden="false" customHeight="true" outlineLevel="0" collapsed="false">
      <c r="A86" s="22"/>
      <c r="B86" s="23"/>
      <c r="C86" s="23"/>
      <c r="D86" s="23"/>
      <c r="E86" s="32"/>
      <c r="F86" s="25"/>
      <c r="G86" s="26"/>
      <c r="H86" s="25" t="str">
        <f aca="false">IF($A86="","",$D$13)</f>
        <v/>
      </c>
      <c r="I86" s="36" t="str">
        <f aca="false">IF($A86="","",N(F86)*(1-N(G86))+N(H86))</f>
        <v/>
      </c>
      <c r="J86" s="36" t="str">
        <f aca="false">IF($A86="","",CEILING(I86*$B$18,500))</f>
        <v/>
      </c>
      <c r="K86" s="29"/>
      <c r="L86" s="33" t="str">
        <f aca="false">IF(OR($A86="",N(K86)=0),"",K86-K86*$B$19-N(I86))</f>
        <v/>
      </c>
      <c r="M86" s="35" t="str">
        <f aca="false">IF(OR($A86="",N(K86)=0),"",N(L86)/K86)</f>
        <v/>
      </c>
      <c r="N86" s="2"/>
    </row>
    <row r="87" customFormat="false" ht="15.75" hidden="false" customHeight="true" outlineLevel="0" collapsed="false">
      <c r="A87" s="22"/>
      <c r="B87" s="23"/>
      <c r="C87" s="23"/>
      <c r="D87" s="23"/>
      <c r="E87" s="32"/>
      <c r="F87" s="25"/>
      <c r="G87" s="26"/>
      <c r="H87" s="25" t="str">
        <f aca="false">IF($A87="","",$D$13)</f>
        <v/>
      </c>
      <c r="I87" s="36" t="str">
        <f aca="false">IF($A87="","",N(F87)*(1-N(G87))+N(H87))</f>
        <v/>
      </c>
      <c r="J87" s="36" t="str">
        <f aca="false">IF($A87="","",CEILING(I87*$B$18,500))</f>
        <v/>
      </c>
      <c r="K87" s="29"/>
      <c r="L87" s="33" t="str">
        <f aca="false">IF(OR($A87="",N(K87)=0),"",K87-K87*$B$19-N(I87))</f>
        <v/>
      </c>
      <c r="M87" s="35" t="str">
        <f aca="false">IF(OR($A87="",N(K87)=0),"",N(L87)/K87)</f>
        <v/>
      </c>
      <c r="N87" s="2"/>
    </row>
    <row r="88" customFormat="false" ht="15.75" hidden="false" customHeight="true" outlineLevel="0" collapsed="false">
      <c r="A88" s="22" t="s">
        <v>164</v>
      </c>
      <c r="B88" s="23" t="s">
        <v>47</v>
      </c>
      <c r="C88" s="23" t="s">
        <v>48</v>
      </c>
      <c r="D88" s="23" t="s">
        <v>118</v>
      </c>
      <c r="E88" s="32" t="s">
        <v>165</v>
      </c>
      <c r="F88" s="25" t="n">
        <v>13750</v>
      </c>
      <c r="G88" s="26"/>
      <c r="H88" s="25" t="n">
        <f aca="false">IF($A88="","",$D$13)</f>
        <v>1316.64032634033</v>
      </c>
      <c r="I88" s="36" t="n">
        <f aca="false">IF($A88="","",N(F88)*(1-N(G88))+N(H88))</f>
        <v>15066.6403263403</v>
      </c>
      <c r="J88" s="36" t="n">
        <f aca="false">IF($A88="","",CEILING(I88*$B$18,500))</f>
        <v>30500</v>
      </c>
      <c r="K88" s="29" t="n">
        <v>25000</v>
      </c>
      <c r="L88" s="33" t="n">
        <f aca="false">IF(OR($A88="",N(K88)=0),"",K88-K88*$B$19-N(I88))</f>
        <v>9933.35967365967</v>
      </c>
      <c r="M88" s="35" t="n">
        <f aca="false">IF(OR($A88="",N(K88)=0),"",N(L88)/K88)</f>
        <v>0.397334386946387</v>
      </c>
      <c r="N88" s="2"/>
    </row>
    <row r="89" customFormat="false" ht="15.75" hidden="false" customHeight="true" outlineLevel="0" collapsed="false">
      <c r="A89" s="22" t="s">
        <v>166</v>
      </c>
      <c r="B89" s="23" t="s">
        <v>47</v>
      </c>
      <c r="C89" s="23" t="s">
        <v>69</v>
      </c>
      <c r="D89" s="23" t="s">
        <v>118</v>
      </c>
      <c r="E89" s="32" t="s">
        <v>167</v>
      </c>
      <c r="F89" s="25" t="n">
        <v>12100</v>
      </c>
      <c r="G89" s="26"/>
      <c r="H89" s="25" t="n">
        <f aca="false">IF($A89="","",$D$13)</f>
        <v>1316.64032634033</v>
      </c>
      <c r="I89" s="36" t="n">
        <f aca="false">IF($A89="","",N(F89)*(1-N(G89))+N(H89))</f>
        <v>13416.6403263403</v>
      </c>
      <c r="J89" s="36" t="n">
        <f aca="false">IF($A89="","",CEILING(I89*$B$18,500))</f>
        <v>27000</v>
      </c>
      <c r="K89" s="29" t="n">
        <v>22500</v>
      </c>
      <c r="L89" s="33" t="n">
        <f aca="false">IF(OR($A89="",N(K89)=0),"",K89-K89*$B$19-N(I89))</f>
        <v>9083.35967365967</v>
      </c>
      <c r="M89" s="35" t="n">
        <f aca="false">IF(OR($A89="",N(K89)=0),"",N(L89)/K89)</f>
        <v>0.403704874384874</v>
      </c>
      <c r="N89" s="2"/>
    </row>
    <row r="90" customFormat="false" ht="15.75" hidden="false" customHeight="true" outlineLevel="0" collapsed="false">
      <c r="A90" s="22" t="s">
        <v>168</v>
      </c>
      <c r="B90" s="23" t="s">
        <v>47</v>
      </c>
      <c r="C90" s="23" t="s">
        <v>48</v>
      </c>
      <c r="D90" s="23" t="s">
        <v>118</v>
      </c>
      <c r="E90" s="32" t="s">
        <v>169</v>
      </c>
      <c r="F90" s="25" t="n">
        <v>8800</v>
      </c>
      <c r="G90" s="26"/>
      <c r="H90" s="25" t="n">
        <f aca="false">IF($A90="","",$D$13)</f>
        <v>1316.64032634033</v>
      </c>
      <c r="I90" s="36" t="n">
        <f aca="false">IF($A90="","",N(F90)*(1-N(G90))+N(H90))</f>
        <v>10116.6403263403</v>
      </c>
      <c r="J90" s="36" t="n">
        <f aca="false">IF($A90="","",CEILING(I90*$B$18,500))</f>
        <v>20500</v>
      </c>
      <c r="K90" s="29" t="n">
        <v>17500</v>
      </c>
      <c r="L90" s="33" t="n">
        <f aca="false">IF(OR($A90="",N(K90)=0),"",K90-K90*$B$19-N(I90))</f>
        <v>7383.35967365967</v>
      </c>
      <c r="M90" s="35" t="n">
        <f aca="false">IF(OR($A90="",N(K90)=0),"",N(L90)/K90)</f>
        <v>0.421906267066267</v>
      </c>
      <c r="N90" s="2"/>
    </row>
    <row r="91" customFormat="false" ht="15.75" hidden="false" customHeight="true" outlineLevel="0" collapsed="false">
      <c r="A91" s="22" t="s">
        <v>170</v>
      </c>
      <c r="B91" s="23" t="s">
        <v>47</v>
      </c>
      <c r="C91" s="23" t="s">
        <v>48</v>
      </c>
      <c r="D91" s="23" t="s">
        <v>118</v>
      </c>
      <c r="E91" s="32" t="s">
        <v>171</v>
      </c>
      <c r="F91" s="25" t="n">
        <v>4500</v>
      </c>
      <c r="G91" s="26"/>
      <c r="H91" s="25" t="n">
        <f aca="false">IF($A91="","",$D$13)</f>
        <v>1316.64032634033</v>
      </c>
      <c r="I91" s="36" t="n">
        <f aca="false">IF($A91="","",N(F91)*(1-N(G91))+N(H91))</f>
        <v>5816.64032634033</v>
      </c>
      <c r="J91" s="36" t="n">
        <f aca="false">IF($A91="","",CEILING(I91*$B$18,500))</f>
        <v>12000</v>
      </c>
      <c r="K91" s="29" t="n">
        <v>12000</v>
      </c>
      <c r="L91" s="33" t="n">
        <f aca="false">IF(OR($A91="",N(K91)=0),"",K91-K91*$B$19-N(I91))</f>
        <v>6183.35967365967</v>
      </c>
      <c r="M91" s="35" t="n">
        <f aca="false">IF(OR($A91="",N(K91)=0),"",N(L91)/K91)</f>
        <v>0.515279972804973</v>
      </c>
      <c r="N91" s="2"/>
    </row>
    <row r="92" customFormat="false" ht="15.75" hidden="false" customHeight="true" outlineLevel="0" collapsed="false">
      <c r="A92" s="22" t="s">
        <v>172</v>
      </c>
      <c r="B92" s="23" t="s">
        <v>47</v>
      </c>
      <c r="C92" s="23" t="s">
        <v>48</v>
      </c>
      <c r="D92" s="23" t="s">
        <v>118</v>
      </c>
      <c r="E92" s="32" t="s">
        <v>173</v>
      </c>
      <c r="F92" s="25" t="n">
        <v>20200</v>
      </c>
      <c r="G92" s="26"/>
      <c r="H92" s="25" t="n">
        <f aca="false">IF($A92="","",$D$13)</f>
        <v>1316.64032634033</v>
      </c>
      <c r="I92" s="36" t="n">
        <f aca="false">IF($A92="","",N(F92)*(1-N(G92))+N(H92))</f>
        <v>21516.6403263403</v>
      </c>
      <c r="J92" s="36" t="n">
        <f aca="false">IF($A92="","",CEILING(I92*$B$18,500))</f>
        <v>43500</v>
      </c>
      <c r="K92" s="29" t="n">
        <v>32000</v>
      </c>
      <c r="L92" s="33" t="n">
        <f aca="false">IF(OR($A92="",N(K92)=0),"",K92-K92*$B$19-N(I92))</f>
        <v>10483.3596736597</v>
      </c>
      <c r="M92" s="35" t="n">
        <f aca="false">IF(OR($A92="",N(K92)=0),"",N(L92)/K92)</f>
        <v>0.327604989801865</v>
      </c>
      <c r="N92" s="2"/>
    </row>
    <row r="93" customFormat="false" ht="15.75" hidden="false" customHeight="true" outlineLevel="0" collapsed="false">
      <c r="A93" s="22" t="s">
        <v>174</v>
      </c>
      <c r="B93" s="23" t="s">
        <v>47</v>
      </c>
      <c r="C93" s="23" t="s">
        <v>48</v>
      </c>
      <c r="D93" s="23" t="s">
        <v>118</v>
      </c>
      <c r="E93" s="32" t="s">
        <v>173</v>
      </c>
      <c r="F93" s="25" t="n">
        <v>24000</v>
      </c>
      <c r="G93" s="26"/>
      <c r="H93" s="25" t="n">
        <f aca="false">IF($A93="","",$D$13)</f>
        <v>1316.64032634033</v>
      </c>
      <c r="I93" s="36" t="n">
        <f aca="false">IF($A93="","",N(F93)*(1-N(G93))+N(H93))</f>
        <v>25316.6403263403</v>
      </c>
      <c r="J93" s="36" t="n">
        <f aca="false">IF($A93="","",CEILING(I93*$B$18,500))</f>
        <v>51000</v>
      </c>
      <c r="K93" s="29" t="n">
        <v>35000</v>
      </c>
      <c r="L93" s="33" t="n">
        <f aca="false">IF(OR($A93="",N(K93)=0),"",K93-K93*$B$19-N(I93))</f>
        <v>9683.35967365967</v>
      </c>
      <c r="M93" s="35" t="n">
        <f aca="false">IF(OR($A93="",N(K93)=0),"",N(L93)/K93)</f>
        <v>0.276667419247419</v>
      </c>
      <c r="N93" s="2"/>
    </row>
    <row r="94" customFormat="false" ht="15.75" hidden="false" customHeight="true" outlineLevel="0" collapsed="false">
      <c r="A94" s="22" t="s">
        <v>175</v>
      </c>
      <c r="B94" s="23" t="s">
        <v>47</v>
      </c>
      <c r="C94" s="23" t="s">
        <v>48</v>
      </c>
      <c r="D94" s="23" t="s">
        <v>118</v>
      </c>
      <c r="E94" s="32" t="s">
        <v>176</v>
      </c>
      <c r="F94" s="25" t="n">
        <v>6900</v>
      </c>
      <c r="G94" s="26"/>
      <c r="H94" s="25" t="n">
        <f aca="false">IF($A94="","",$D$13)</f>
        <v>1316.64032634033</v>
      </c>
      <c r="I94" s="36" t="n">
        <f aca="false">IF($A94="","",N(F94)*(1-N(G94))+N(H94))</f>
        <v>8216.64032634033</v>
      </c>
      <c r="J94" s="36" t="n">
        <f aca="false">IF($A94="","",CEILING(I94*$B$18,500))</f>
        <v>16500</v>
      </c>
      <c r="K94" s="29" t="n">
        <v>14000</v>
      </c>
      <c r="L94" s="33" t="n">
        <f aca="false">IF(OR($A94="",N(K94)=0),"",K94-K94*$B$19-N(I94))</f>
        <v>5783.35967365967</v>
      </c>
      <c r="M94" s="35" t="n">
        <f aca="false">IF(OR($A94="",N(K94)=0),"",N(L94)/K94)</f>
        <v>0.41309711954712</v>
      </c>
      <c r="N94" s="2"/>
    </row>
    <row r="95" customFormat="false" ht="15.75" hidden="false" customHeight="true" outlineLevel="0" collapsed="false">
      <c r="A95" s="22" t="s">
        <v>177</v>
      </c>
      <c r="B95" s="23" t="s">
        <v>47</v>
      </c>
      <c r="C95" s="23" t="s">
        <v>78</v>
      </c>
      <c r="D95" s="23" t="s">
        <v>118</v>
      </c>
      <c r="E95" s="32" t="s">
        <v>176</v>
      </c>
      <c r="F95" s="25" t="n">
        <v>16000</v>
      </c>
      <c r="G95" s="26"/>
      <c r="H95" s="25" t="n">
        <f aca="false">IF($A95="","",$D$13)</f>
        <v>1316.64032634033</v>
      </c>
      <c r="I95" s="36" t="n">
        <f aca="false">IF($A95="","",N(F95)*(1-N(G95))+N(H95))</f>
        <v>17316.6403263403</v>
      </c>
      <c r="J95" s="36" t="n">
        <f aca="false">IF($A95="","",CEILING(I95*$B$18,500))</f>
        <v>35000</v>
      </c>
      <c r="K95" s="29" t="n">
        <v>28000</v>
      </c>
      <c r="L95" s="33" t="n">
        <f aca="false">IF(OR($A95="",N(K95)=0),"",K95-K95*$B$19-N(I95))</f>
        <v>10683.3596736597</v>
      </c>
      <c r="M95" s="35" t="n">
        <f aca="false">IF(OR($A95="",N(K95)=0),"",N(L95)/K95)</f>
        <v>0.38154855977356</v>
      </c>
      <c r="N95" s="2"/>
    </row>
    <row r="96" customFormat="false" ht="15.75" hidden="false" customHeight="true" outlineLevel="0" collapsed="false">
      <c r="A96" s="22"/>
      <c r="B96" s="23"/>
      <c r="C96" s="23"/>
      <c r="D96" s="23"/>
      <c r="E96" s="32" t="s">
        <v>178</v>
      </c>
      <c r="F96" s="25"/>
      <c r="G96" s="26"/>
      <c r="H96" s="25" t="str">
        <f aca="false">IF($A96="","",$D$13)</f>
        <v/>
      </c>
      <c r="I96" s="36" t="str">
        <f aca="false">IF($A96="","",N(F96)*(1-N(G96))+N(H96))</f>
        <v/>
      </c>
      <c r="J96" s="36" t="str">
        <f aca="false">IF($A96="","",CEILING(I96*$B$18,500))</f>
        <v/>
      </c>
      <c r="K96" s="29"/>
      <c r="L96" s="33" t="str">
        <f aca="false">IF(OR($A96="",N(K96)=0),"",K96-K96*$B$19-N(I96))</f>
        <v/>
      </c>
      <c r="M96" s="35" t="str">
        <f aca="false">IF(OR($A96="",N(K96)=0),"",N(L96)/K96)</f>
        <v/>
      </c>
      <c r="N96" s="2"/>
    </row>
    <row r="97" customFormat="false" ht="15.75" hidden="false" customHeight="true" outlineLevel="0" collapsed="false">
      <c r="A97" s="22"/>
      <c r="B97" s="23"/>
      <c r="C97" s="23"/>
      <c r="D97" s="23"/>
      <c r="E97" s="32"/>
      <c r="F97" s="25"/>
      <c r="G97" s="26"/>
      <c r="H97" s="25" t="str">
        <f aca="false">IF($A97="","",$D$13)</f>
        <v/>
      </c>
      <c r="I97" s="36" t="str">
        <f aca="false">IF($A97="","",N(F97)*(1-N(G97))+N(H97))</f>
        <v/>
      </c>
      <c r="J97" s="36" t="str">
        <f aca="false">IF($A97="","",CEILING(I97*$B$18,500))</f>
        <v/>
      </c>
      <c r="K97" s="29"/>
      <c r="L97" s="33" t="str">
        <f aca="false">IF(OR($A97="",N(K97)=0),"",K97-K97*$B$19-N(I97))</f>
        <v/>
      </c>
      <c r="M97" s="35" t="str">
        <f aca="false">IF(OR($A97="",N(K97)=0),"",N(L97)/K97)</f>
        <v/>
      </c>
      <c r="N97" s="2"/>
    </row>
    <row r="98" customFormat="false" ht="15.75" hidden="false" customHeight="true" outlineLevel="0" collapsed="false">
      <c r="A98" s="22" t="s">
        <v>179</v>
      </c>
      <c r="B98" s="23" t="s">
        <v>180</v>
      </c>
      <c r="C98" s="23" t="s">
        <v>78</v>
      </c>
      <c r="D98" s="23" t="s">
        <v>181</v>
      </c>
      <c r="E98" s="23" t="s">
        <v>182</v>
      </c>
      <c r="F98" s="25" t="n">
        <v>16500</v>
      </c>
      <c r="G98" s="26"/>
      <c r="H98" s="25" t="n">
        <f aca="false">IF($A98="","",$D$13)</f>
        <v>1316.64032634033</v>
      </c>
      <c r="I98" s="36" t="n">
        <f aca="false">IF($A98="","",N(F98)*(1-N(G98))+N(H98))</f>
        <v>17816.6403263403</v>
      </c>
      <c r="J98" s="36" t="n">
        <f aca="false">IF($A98="","",CEILING(I98*$B$18,500))</f>
        <v>36000</v>
      </c>
      <c r="K98" s="29" t="n">
        <v>30000</v>
      </c>
      <c r="L98" s="33" t="n">
        <f aca="false">IF(OR($A98="",N(K98)=0),"",K98-K98*$B$19-N(I98))</f>
        <v>12183.3596736597</v>
      </c>
      <c r="M98" s="35" t="n">
        <f aca="false">IF(OR($A98="",N(K98)=0),"",N(L98)/K98)</f>
        <v>0.406111989121989</v>
      </c>
      <c r="N98" s="2"/>
    </row>
    <row r="99" customFormat="false" ht="15.75" hidden="false" customHeight="true" outlineLevel="0" collapsed="false">
      <c r="A99" s="22" t="s">
        <v>183</v>
      </c>
      <c r="B99" s="23" t="s">
        <v>180</v>
      </c>
      <c r="C99" s="23" t="s">
        <v>78</v>
      </c>
      <c r="D99" s="23" t="s">
        <v>181</v>
      </c>
      <c r="E99" s="23" t="s">
        <v>184</v>
      </c>
      <c r="F99" s="25" t="n">
        <v>7000</v>
      </c>
      <c r="G99" s="26"/>
      <c r="H99" s="25" t="n">
        <f aca="false">IF($A99="","",$D$13)</f>
        <v>1316.64032634033</v>
      </c>
      <c r="I99" s="36" t="n">
        <f aca="false">IF($A99="","",N(F99)*(1-N(G99))+N(H99))</f>
        <v>8316.64032634033</v>
      </c>
      <c r="J99" s="36" t="n">
        <f aca="false">IF($A99="","",CEILING(I99*$B$18,500))</f>
        <v>17000</v>
      </c>
      <c r="K99" s="29" t="n">
        <v>18000</v>
      </c>
      <c r="L99" s="33" t="n">
        <f aca="false">IF(OR($A99="",N(K99)=0),"",K99-K99*$B$19-N(I99))</f>
        <v>9683.35967365967</v>
      </c>
      <c r="M99" s="35" t="n">
        <f aca="false">IF(OR($A99="",N(K99)=0),"",N(L99)/K99)</f>
        <v>0.537964426314426</v>
      </c>
      <c r="N99" s="2"/>
    </row>
    <row r="100" customFormat="false" ht="15.75" hidden="false" customHeight="true" outlineLevel="0" collapsed="false">
      <c r="A100" s="22" t="s">
        <v>185</v>
      </c>
      <c r="B100" s="23" t="s">
        <v>180</v>
      </c>
      <c r="C100" s="23" t="s">
        <v>78</v>
      </c>
      <c r="D100" s="23" t="s">
        <v>181</v>
      </c>
      <c r="E100" s="23" t="s">
        <v>186</v>
      </c>
      <c r="F100" s="25" t="n">
        <v>13400</v>
      </c>
      <c r="G100" s="26"/>
      <c r="H100" s="25" t="n">
        <f aca="false">IF($A100="","",$D$13)</f>
        <v>1316.64032634033</v>
      </c>
      <c r="I100" s="36" t="n">
        <f aca="false">IF($A100="","",N(F100)*(1-N(G100))+N(H100))</f>
        <v>14716.6403263403</v>
      </c>
      <c r="J100" s="36" t="n">
        <f aca="false">IF($A100="","",CEILING(I100*$B$18,500))</f>
        <v>29500</v>
      </c>
      <c r="K100" s="29" t="n">
        <v>28000</v>
      </c>
      <c r="L100" s="33" t="n">
        <f aca="false">IF(OR($A100="",N(K100)=0),"",K100-K100*$B$19-N(I100))</f>
        <v>13283.3596736597</v>
      </c>
      <c r="M100" s="35" t="n">
        <f aca="false">IF(OR($A100="",N(K100)=0),"",N(L100)/K100)</f>
        <v>0.474405702630703</v>
      </c>
      <c r="N100" s="2"/>
    </row>
    <row r="101" customFormat="false" ht="15.75" hidden="false" customHeight="true" outlineLevel="0" collapsed="false">
      <c r="A101" s="22" t="s">
        <v>187</v>
      </c>
      <c r="B101" s="23" t="s">
        <v>180</v>
      </c>
      <c r="C101" s="23" t="s">
        <v>78</v>
      </c>
      <c r="D101" s="23" t="s">
        <v>181</v>
      </c>
      <c r="E101" s="23" t="s">
        <v>188</v>
      </c>
      <c r="F101" s="25" t="n">
        <v>18000</v>
      </c>
      <c r="G101" s="26"/>
      <c r="H101" s="25" t="n">
        <f aca="false">IF($A101="","",$D$13)</f>
        <v>1316.64032634033</v>
      </c>
      <c r="I101" s="36" t="n">
        <f aca="false">IF($A101="","",N(F101)*(1-N(G101))+N(H101))</f>
        <v>19316.6403263403</v>
      </c>
      <c r="J101" s="36" t="n">
        <f aca="false">IF($A101="","",CEILING(I101*$B$18,500))</f>
        <v>39000</v>
      </c>
      <c r="K101" s="29" t="n">
        <v>32500</v>
      </c>
      <c r="L101" s="33" t="n">
        <f aca="false">IF(OR($A101="",N(K101)=0),"",K101-K101*$B$19-N(I101))</f>
        <v>13183.3596736597</v>
      </c>
      <c r="M101" s="35" t="n">
        <f aca="false">IF(OR($A101="",N(K101)=0),"",N(L101)/K101)</f>
        <v>0.405641836112605</v>
      </c>
      <c r="N101" s="2"/>
    </row>
    <row r="102" customFormat="false" ht="15.75" hidden="false" customHeight="true" outlineLevel="0" collapsed="false">
      <c r="A102" s="22" t="s">
        <v>189</v>
      </c>
      <c r="B102" s="23" t="s">
        <v>180</v>
      </c>
      <c r="C102" s="23" t="s">
        <v>78</v>
      </c>
      <c r="D102" s="23" t="s">
        <v>181</v>
      </c>
      <c r="E102" s="23" t="s">
        <v>190</v>
      </c>
      <c r="F102" s="25" t="n">
        <v>13200</v>
      </c>
      <c r="G102" s="26"/>
      <c r="H102" s="25" t="n">
        <f aca="false">IF($A102="","",$D$13)</f>
        <v>1316.64032634033</v>
      </c>
      <c r="I102" s="36" t="n">
        <f aca="false">IF($A102="","",N(F102)*(1-N(G102))+N(H102))</f>
        <v>14516.6403263403</v>
      </c>
      <c r="J102" s="36" t="n">
        <f aca="false">IF($A102="","",CEILING(I102*$B$18,500))</f>
        <v>29500</v>
      </c>
      <c r="K102" s="29" t="n">
        <v>26500</v>
      </c>
      <c r="L102" s="33" t="n">
        <f aca="false">IF(OR($A102="",N(K102)=0),"",K102-K102*$B$19-N(I102))</f>
        <v>11983.3596736597</v>
      </c>
      <c r="M102" s="35" t="n">
        <f aca="false">IF(OR($A102="",N(K102)=0),"",N(L102)/K102)</f>
        <v>0.452202251836214</v>
      </c>
      <c r="N102" s="2"/>
    </row>
    <row r="103" customFormat="false" ht="15.75" hidden="false" customHeight="true" outlineLevel="0" collapsed="false">
      <c r="A103" s="22" t="s">
        <v>191</v>
      </c>
      <c r="B103" s="23" t="s">
        <v>180</v>
      </c>
      <c r="C103" s="23" t="s">
        <v>192</v>
      </c>
      <c r="D103" s="23" t="s">
        <v>181</v>
      </c>
      <c r="E103" s="23" t="s">
        <v>193</v>
      </c>
      <c r="F103" s="25" t="n">
        <v>3600</v>
      </c>
      <c r="G103" s="26"/>
      <c r="H103" s="25" t="n">
        <f aca="false">IF($A103="","",$D$13)</f>
        <v>1316.64032634033</v>
      </c>
      <c r="I103" s="36" t="n">
        <f aca="false">IF($A103="","",N(F103)*(1-N(G103))+N(H103))</f>
        <v>4916.64032634033</v>
      </c>
      <c r="J103" s="36" t="n">
        <f aca="false">IF($A103="","",CEILING(I103*$B$18,500))</f>
        <v>10000</v>
      </c>
      <c r="K103" s="29" t="n">
        <v>9000</v>
      </c>
      <c r="L103" s="33" t="n">
        <f aca="false">IF(OR($A103="",N(K103)=0),"",K103-K103*$B$19-N(I103))</f>
        <v>4083.35967365967</v>
      </c>
      <c r="M103" s="35" t="n">
        <f aca="false">IF(OR($A103="",N(K103)=0),"",N(L103)/K103)</f>
        <v>0.45370663040663</v>
      </c>
      <c r="N103" s="2"/>
    </row>
    <row r="104" customFormat="false" ht="15.75" hidden="false" customHeight="true" outlineLevel="0" collapsed="false">
      <c r="A104" s="22" t="s">
        <v>194</v>
      </c>
      <c r="B104" s="23" t="s">
        <v>180</v>
      </c>
      <c r="C104" s="23" t="s">
        <v>78</v>
      </c>
      <c r="D104" s="23" t="s">
        <v>181</v>
      </c>
      <c r="E104" s="23" t="s">
        <v>195</v>
      </c>
      <c r="F104" s="25" t="n">
        <v>6000</v>
      </c>
      <c r="G104" s="26"/>
      <c r="H104" s="25" t="n">
        <f aca="false">IF($A104="","",$D$13)</f>
        <v>1316.64032634033</v>
      </c>
      <c r="I104" s="36" t="n">
        <f aca="false">IF($A104="","",N(F104)*(1-N(G104))+N(H104))</f>
        <v>7316.64032634033</v>
      </c>
      <c r="J104" s="36" t="n">
        <f aca="false">IF($A104="","",CEILING(I104*$B$18,500))</f>
        <v>15000</v>
      </c>
      <c r="K104" s="29" t="n">
        <v>16000</v>
      </c>
      <c r="L104" s="33" t="n">
        <f aca="false">IF(OR($A104="",N(K104)=0),"",K104-K104*$B$19-N(I104))</f>
        <v>8683.35967365967</v>
      </c>
      <c r="M104" s="35" t="n">
        <f aca="false">IF(OR($A104="",N(K104)=0),"",N(L104)/K104)</f>
        <v>0.54270997960373</v>
      </c>
      <c r="N104" s="2"/>
    </row>
    <row r="105" customFormat="false" ht="15.75" hidden="false" customHeight="true" outlineLevel="0" collapsed="false">
      <c r="A105" s="22" t="s">
        <v>196</v>
      </c>
      <c r="B105" s="23" t="s">
        <v>180</v>
      </c>
      <c r="C105" s="23" t="s">
        <v>78</v>
      </c>
      <c r="D105" s="23" t="s">
        <v>181</v>
      </c>
      <c r="E105" s="23" t="s">
        <v>197</v>
      </c>
      <c r="F105" s="25" t="n">
        <v>8000</v>
      </c>
      <c r="G105" s="26"/>
      <c r="H105" s="25" t="n">
        <f aca="false">IF($A105="","",$D$13)</f>
        <v>1316.64032634033</v>
      </c>
      <c r="I105" s="36" t="n">
        <f aca="false">IF($A105="","",N(F105)*(1-N(G105))+N(H105))</f>
        <v>9316.64032634033</v>
      </c>
      <c r="J105" s="36" t="n">
        <f aca="false">IF($A105="","",CEILING(I105*$B$18,500))</f>
        <v>19000</v>
      </c>
      <c r="K105" s="29" t="n">
        <v>18500</v>
      </c>
      <c r="L105" s="33" t="n">
        <f aca="false">IF(OR($A105="",N(K105)=0),"",K105-K105*$B$19-N(I105))</f>
        <v>9183.35967365967</v>
      </c>
      <c r="M105" s="35" t="n">
        <f aca="false">IF(OR($A105="",N(K105)=0),"",N(L105)/K105)</f>
        <v>0.49639782019782</v>
      </c>
      <c r="N105" s="2"/>
    </row>
    <row r="106" customFormat="false" ht="15.75" hidden="false" customHeight="true" outlineLevel="0" collapsed="false">
      <c r="A106" s="22" t="s">
        <v>198</v>
      </c>
      <c r="B106" s="23" t="s">
        <v>180</v>
      </c>
      <c r="C106" s="23" t="s">
        <v>78</v>
      </c>
      <c r="D106" s="23" t="s">
        <v>181</v>
      </c>
      <c r="E106" s="23" t="s">
        <v>199</v>
      </c>
      <c r="F106" s="25" t="n">
        <v>14800</v>
      </c>
      <c r="G106" s="26"/>
      <c r="H106" s="25" t="n">
        <f aca="false">IF($A106="","",$D$13)</f>
        <v>1316.64032634033</v>
      </c>
      <c r="I106" s="36" t="n">
        <f aca="false">IF($A106="","",N(F106)*(1-N(G106))+N(H106))</f>
        <v>16116.6403263403</v>
      </c>
      <c r="J106" s="36" t="n">
        <f aca="false">IF($A106="","",CEILING(I106*$B$18,500))</f>
        <v>32500</v>
      </c>
      <c r="K106" s="29" t="n">
        <v>28000</v>
      </c>
      <c r="L106" s="33" t="n">
        <f aca="false">IF(OR($A106="",N(K106)=0),"",K106-K106*$B$19-N(I106))</f>
        <v>11883.3596736597</v>
      </c>
      <c r="M106" s="35" t="n">
        <f aca="false">IF(OR($A106="",N(K106)=0),"",N(L106)/K106)</f>
        <v>0.424405702630703</v>
      </c>
      <c r="N106" s="2"/>
    </row>
    <row r="107" customFormat="false" ht="15.75" hidden="false" customHeight="true" outlineLevel="0" collapsed="false">
      <c r="A107" s="22" t="s">
        <v>200</v>
      </c>
      <c r="B107" s="23" t="s">
        <v>180</v>
      </c>
      <c r="C107" s="23" t="s">
        <v>78</v>
      </c>
      <c r="D107" s="23" t="s">
        <v>181</v>
      </c>
      <c r="E107" s="23" t="s">
        <v>201</v>
      </c>
      <c r="F107" s="25" t="n">
        <v>9800</v>
      </c>
      <c r="G107" s="26"/>
      <c r="H107" s="25" t="n">
        <f aca="false">IF($A107="","",$D$13)</f>
        <v>1316.64032634033</v>
      </c>
      <c r="I107" s="36" t="n">
        <f aca="false">IF($A107="","",N(F107)*(1-N(G107))+N(H107))</f>
        <v>11116.6403263403</v>
      </c>
      <c r="J107" s="36" t="n">
        <f aca="false">IF($A107="","",CEILING(I107*$B$18,500))</f>
        <v>22500</v>
      </c>
      <c r="K107" s="29" t="n">
        <v>20000</v>
      </c>
      <c r="L107" s="33" t="n">
        <f aca="false">IF(OR($A107="",N(K107)=0),"",K107-K107*$B$19-N(I107))</f>
        <v>8883.35967365967</v>
      </c>
      <c r="M107" s="35" t="n">
        <f aca="false">IF(OR($A107="",N(K107)=0),"",N(L107)/K107)</f>
        <v>0.444167983682984</v>
      </c>
      <c r="N107" s="2"/>
    </row>
    <row r="108" customFormat="false" ht="15.75" hidden="false" customHeight="true" outlineLevel="0" collapsed="false">
      <c r="A108" s="22" t="s">
        <v>202</v>
      </c>
      <c r="B108" s="23" t="s">
        <v>180</v>
      </c>
      <c r="C108" s="23" t="s">
        <v>78</v>
      </c>
      <c r="D108" s="23" t="s">
        <v>181</v>
      </c>
      <c r="E108" s="23" t="s">
        <v>203</v>
      </c>
      <c r="F108" s="25" t="n">
        <v>12400</v>
      </c>
      <c r="G108" s="26"/>
      <c r="H108" s="25" t="n">
        <f aca="false">IF($A108="","",$D$13)</f>
        <v>1316.64032634033</v>
      </c>
      <c r="I108" s="36" t="n">
        <f aca="false">IF($A108="","",N(F108)*(1-N(G108))+N(H108))</f>
        <v>13716.6403263403</v>
      </c>
      <c r="J108" s="36" t="n">
        <f aca="false">IF($A108="","",CEILING(I108*$B$18,500))</f>
        <v>27500</v>
      </c>
      <c r="K108" s="29" t="n">
        <v>25000</v>
      </c>
      <c r="L108" s="33" t="n">
        <f aca="false">IF(OR($A108="",N(K108)=0),"",K108-K108*$B$19-N(I108))</f>
        <v>11283.3596736597</v>
      </c>
      <c r="M108" s="35" t="n">
        <f aca="false">IF(OR($A108="",N(K108)=0),"",N(L108)/K108)</f>
        <v>0.451334386946387</v>
      </c>
      <c r="N108" s="2"/>
    </row>
    <row r="109" customFormat="false" ht="15.75" hidden="false" customHeight="true" outlineLevel="0" collapsed="false">
      <c r="A109" s="22" t="s">
        <v>204</v>
      </c>
      <c r="B109" s="23" t="s">
        <v>180</v>
      </c>
      <c r="C109" s="23" t="s">
        <v>78</v>
      </c>
      <c r="D109" s="23" t="s">
        <v>181</v>
      </c>
      <c r="E109" s="23" t="s">
        <v>205</v>
      </c>
      <c r="F109" s="25" t="n">
        <v>16500</v>
      </c>
      <c r="G109" s="26"/>
      <c r="H109" s="25" t="n">
        <f aca="false">IF($A109="","",$D$13)</f>
        <v>1316.64032634033</v>
      </c>
      <c r="I109" s="36" t="n">
        <f aca="false">IF($A109="","",N(F109)*(1-N(G109))+N(H109))</f>
        <v>17816.6403263403</v>
      </c>
      <c r="J109" s="36" t="n">
        <f aca="false">IF($A109="","",CEILING(I109*$B$18,500))</f>
        <v>36000</v>
      </c>
      <c r="K109" s="29" t="n">
        <v>34000</v>
      </c>
      <c r="L109" s="33" t="n">
        <f aca="false">IF(OR($A109="",N(K109)=0),"",K109-K109*$B$19-N(I109))</f>
        <v>16183.3596736597</v>
      </c>
      <c r="M109" s="35" t="n">
        <f aca="false">IF(OR($A109="",N(K109)=0),"",N(L109)/K109)</f>
        <v>0.475981166872343</v>
      </c>
      <c r="N109" s="2"/>
    </row>
    <row r="110" customFormat="false" ht="15.75" hidden="false" customHeight="true" outlineLevel="0" collapsed="false">
      <c r="A110" s="22" t="s">
        <v>206</v>
      </c>
      <c r="B110" s="23" t="s">
        <v>180</v>
      </c>
      <c r="C110" s="23" t="s">
        <v>78</v>
      </c>
      <c r="D110" s="23" t="s">
        <v>181</v>
      </c>
      <c r="E110" s="23" t="s">
        <v>207</v>
      </c>
      <c r="F110" s="25" t="n">
        <v>7000</v>
      </c>
      <c r="G110" s="26"/>
      <c r="H110" s="25" t="n">
        <f aca="false">IF($A110="","",$D$13)</f>
        <v>1316.64032634033</v>
      </c>
      <c r="I110" s="36" t="n">
        <f aca="false">IF($A110="","",N(F110)*(1-N(G110))+N(H110))</f>
        <v>8316.64032634033</v>
      </c>
      <c r="J110" s="36" t="n">
        <f aca="false">IF($A110="","",CEILING(I110*$B$18,500))</f>
        <v>17000</v>
      </c>
      <c r="K110" s="29" t="n">
        <v>16000</v>
      </c>
      <c r="L110" s="33" t="n">
        <f aca="false">IF(OR($A110="",N(K110)=0),"",K110-K110*$B$19-N(I110))</f>
        <v>7683.35967365967</v>
      </c>
      <c r="M110" s="35" t="n">
        <f aca="false">IF(OR($A110="",N(K110)=0),"",N(L110)/K110)</f>
        <v>0.48020997960373</v>
      </c>
      <c r="N110" s="2"/>
    </row>
    <row r="111" customFormat="false" ht="15.75" hidden="false" customHeight="true" outlineLevel="0" collapsed="false">
      <c r="A111" s="22" t="s">
        <v>208</v>
      </c>
      <c r="B111" s="23" t="s">
        <v>180</v>
      </c>
      <c r="C111" s="23" t="s">
        <v>78</v>
      </c>
      <c r="D111" s="23" t="s">
        <v>181</v>
      </c>
      <c r="E111" s="23" t="s">
        <v>209</v>
      </c>
      <c r="F111" s="25" t="n">
        <v>8800</v>
      </c>
      <c r="G111" s="26"/>
      <c r="H111" s="25" t="n">
        <f aca="false">IF($A111="","",$D$13)</f>
        <v>1316.64032634033</v>
      </c>
      <c r="I111" s="36" t="n">
        <f aca="false">IF($A111="","",N(F111)*(1-N(G111))+N(H111))</f>
        <v>10116.6403263403</v>
      </c>
      <c r="J111" s="36" t="n">
        <f aca="false">IF($A111="","",CEILING(I111*$B$18,500))</f>
        <v>20500</v>
      </c>
      <c r="K111" s="29" t="n">
        <v>18000</v>
      </c>
      <c r="L111" s="33" t="n">
        <f aca="false">IF(OR($A111="",N(K111)=0),"",K111-K111*$B$19-N(I111))</f>
        <v>7883.35967365967</v>
      </c>
      <c r="M111" s="35" t="n">
        <f aca="false">IF(OR($A111="",N(K111)=0),"",N(L111)/K111)</f>
        <v>0.437964426314426</v>
      </c>
      <c r="N111" s="2"/>
    </row>
    <row r="112" customFormat="false" ht="15.75" hidden="false" customHeight="true" outlineLevel="0" collapsed="false">
      <c r="A112" s="22" t="s">
        <v>210</v>
      </c>
      <c r="B112" s="23" t="s">
        <v>180</v>
      </c>
      <c r="C112" s="23" t="s">
        <v>78</v>
      </c>
      <c r="D112" s="23" t="s">
        <v>181</v>
      </c>
      <c r="E112" s="23" t="s">
        <v>211</v>
      </c>
      <c r="F112" s="25" t="n">
        <v>6500</v>
      </c>
      <c r="G112" s="26"/>
      <c r="H112" s="25" t="n">
        <f aca="false">IF($A112="","",$D$13)</f>
        <v>1316.64032634033</v>
      </c>
      <c r="I112" s="36" t="n">
        <f aca="false">IF($A112="","",N(F112)*(1-N(G112))+N(H112))</f>
        <v>7816.64032634033</v>
      </c>
      <c r="J112" s="36" t="n">
        <f aca="false">IF($A112="","",CEILING(I112*$B$18,500))</f>
        <v>16000</v>
      </c>
      <c r="K112" s="29" t="n">
        <v>16000</v>
      </c>
      <c r="L112" s="33" t="n">
        <f aca="false">IF(OR($A112="",N(K112)=0),"",K112-K112*$B$19-N(I112))</f>
        <v>8183.35967365967</v>
      </c>
      <c r="M112" s="35" t="n">
        <f aca="false">IF(OR($A112="",N(K112)=0),"",N(L112)/K112)</f>
        <v>0.51145997960373</v>
      </c>
      <c r="N112" s="2"/>
    </row>
    <row r="113" customFormat="false" ht="15.75" hidden="false" customHeight="true" outlineLevel="0" collapsed="false">
      <c r="A113" s="22" t="s">
        <v>212</v>
      </c>
      <c r="B113" s="23" t="s">
        <v>180</v>
      </c>
      <c r="C113" s="23" t="s">
        <v>78</v>
      </c>
      <c r="D113" s="23" t="s">
        <v>181</v>
      </c>
      <c r="E113" s="23" t="s">
        <v>213</v>
      </c>
      <c r="F113" s="25" t="n">
        <v>4900</v>
      </c>
      <c r="G113" s="26"/>
      <c r="H113" s="25" t="n">
        <f aca="false">IF($A113="","",$D$13)</f>
        <v>1316.64032634033</v>
      </c>
      <c r="I113" s="36" t="n">
        <f aca="false">IF($A113="","",N(F113)*(1-N(G113))+N(H113))</f>
        <v>6216.64032634033</v>
      </c>
      <c r="J113" s="36" t="n">
        <f aca="false">IF($A113="","",CEILING(I113*$B$18,500))</f>
        <v>12500</v>
      </c>
      <c r="K113" s="29" t="n">
        <v>12500</v>
      </c>
      <c r="L113" s="33" t="n">
        <f aca="false">IF(OR($A113="",N(K113)=0),"",K113-K113*$B$19-N(I113))</f>
        <v>6283.35967365967</v>
      </c>
      <c r="M113" s="35" t="n">
        <f aca="false">IF(OR($A113="",N(K113)=0),"",N(L113)/K113)</f>
        <v>0.502668773892774</v>
      </c>
      <c r="N113" s="2"/>
    </row>
    <row r="114" customFormat="false" ht="15.75" hidden="false" customHeight="true" outlineLevel="0" collapsed="false">
      <c r="A114" s="22" t="s">
        <v>214</v>
      </c>
      <c r="B114" s="23" t="s">
        <v>180</v>
      </c>
      <c r="C114" s="23" t="s">
        <v>78</v>
      </c>
      <c r="D114" s="23" t="s">
        <v>181</v>
      </c>
      <c r="E114" s="23" t="s">
        <v>215</v>
      </c>
      <c r="F114" s="25" t="n">
        <v>3600</v>
      </c>
      <c r="G114" s="26"/>
      <c r="H114" s="25" t="n">
        <f aca="false">IF($A114="","",$D$13)</f>
        <v>1316.64032634033</v>
      </c>
      <c r="I114" s="36" t="n">
        <f aca="false">IF($A114="","",N(F114)*(1-N(G114))+N(H114))</f>
        <v>4916.64032634033</v>
      </c>
      <c r="J114" s="36" t="n">
        <f aca="false">IF($A114="","",CEILING(I114*$B$18,500))</f>
        <v>10000</v>
      </c>
      <c r="K114" s="29" t="n">
        <v>10000</v>
      </c>
      <c r="L114" s="33" t="n">
        <f aca="false">IF(OR($A114="",N(K114)=0),"",K114-K114*$B$19-N(I114))</f>
        <v>5083.35967365967</v>
      </c>
      <c r="M114" s="35" t="n">
        <f aca="false">IF(OR($A114="",N(K114)=0),"",N(L114)/K114)</f>
        <v>0.508335967365967</v>
      </c>
      <c r="N114" s="2"/>
    </row>
    <row r="115" customFormat="false" ht="15.75" hidden="false" customHeight="true" outlineLevel="0" collapsed="false">
      <c r="A115" s="22" t="s">
        <v>216</v>
      </c>
      <c r="B115" s="23" t="s">
        <v>180</v>
      </c>
      <c r="C115" s="23" t="s">
        <v>78</v>
      </c>
      <c r="D115" s="23" t="s">
        <v>181</v>
      </c>
      <c r="E115" s="23" t="s">
        <v>217</v>
      </c>
      <c r="F115" s="25" t="n">
        <v>5200</v>
      </c>
      <c r="G115" s="26"/>
      <c r="H115" s="25" t="n">
        <f aca="false">IF($A115="","",$D$13)</f>
        <v>1316.64032634033</v>
      </c>
      <c r="I115" s="36" t="n">
        <f aca="false">IF($A115="","",N(F115)*(1-N(G115))+N(H115))</f>
        <v>6516.64032634033</v>
      </c>
      <c r="J115" s="36" t="n">
        <f aca="false">IF($A115="","",CEILING(I115*$B$18,500))</f>
        <v>13500</v>
      </c>
      <c r="K115" s="29" t="n">
        <v>13500</v>
      </c>
      <c r="L115" s="33" t="n">
        <f aca="false">IF(OR($A115="",N(K115)=0),"",K115-K115*$B$19-N(I115))</f>
        <v>6983.35967365967</v>
      </c>
      <c r="M115" s="35" t="n">
        <f aca="false">IF(OR($A115="",N(K115)=0),"",N(L115)/K115)</f>
        <v>0.517285901752568</v>
      </c>
      <c r="N115" s="2"/>
    </row>
    <row r="116" customFormat="false" ht="15.75" hidden="false" customHeight="true" outlineLevel="0" collapsed="false">
      <c r="A116" s="22"/>
      <c r="B116" s="23"/>
      <c r="C116" s="23"/>
      <c r="D116" s="23"/>
      <c r="E116" s="23"/>
      <c r="F116" s="25"/>
      <c r="G116" s="26"/>
      <c r="H116" s="25" t="str">
        <f aca="false">IF($A116="","",$D$13)</f>
        <v/>
      </c>
      <c r="I116" s="36" t="str">
        <f aca="false">IF($A116="","",N(F116)*(1-N(G116))+N(H116))</f>
        <v/>
      </c>
      <c r="J116" s="36" t="str">
        <f aca="false">IF($A116="","",CEILING(I116*$B$18,500))</f>
        <v/>
      </c>
      <c r="K116" s="29"/>
      <c r="L116" s="33" t="str">
        <f aca="false">IF(OR($A116="",N(K116)=0),"",K116-K116*$B$19-N(I116))</f>
        <v/>
      </c>
      <c r="M116" s="35" t="str">
        <f aca="false">IF(OR($A116="",N(K116)=0),"",N(L116)/K116)</f>
        <v/>
      </c>
      <c r="N116" s="2"/>
    </row>
    <row r="117" customFormat="false" ht="15.75" hidden="false" customHeight="true" outlineLevel="0" collapsed="false">
      <c r="A117" s="22"/>
      <c r="B117" s="23"/>
      <c r="C117" s="23"/>
      <c r="D117" s="23"/>
      <c r="E117" s="23"/>
      <c r="F117" s="25"/>
      <c r="G117" s="26"/>
      <c r="H117" s="25" t="str">
        <f aca="false">IF($A117="","",$D$13)</f>
        <v/>
      </c>
      <c r="I117" s="36" t="str">
        <f aca="false">IF($A117="","",N(F117)*(1-N(G117))+N(H117))</f>
        <v/>
      </c>
      <c r="J117" s="36" t="str">
        <f aca="false">IF($A117="","",CEILING(I117*$B$18,500))</f>
        <v/>
      </c>
      <c r="K117" s="29"/>
      <c r="L117" s="33" t="str">
        <f aca="false">IF(OR($A117="",N(K117)=0),"",K117-K117*$B$19-N(I117))</f>
        <v/>
      </c>
      <c r="M117" s="35" t="str">
        <f aca="false">IF(OR($A117="",N(K117)=0),"",N(L117)/K117)</f>
        <v/>
      </c>
      <c r="N117" s="2"/>
    </row>
    <row r="118" customFormat="false" ht="15.75" hidden="false" customHeight="true" outlineLevel="0" collapsed="false">
      <c r="A118" s="22"/>
      <c r="B118" s="23"/>
      <c r="C118" s="23"/>
      <c r="D118" s="23"/>
      <c r="E118" s="23"/>
      <c r="F118" s="25"/>
      <c r="G118" s="26"/>
      <c r="H118" s="25" t="str">
        <f aca="false">IF($A118="","",$D$13)</f>
        <v/>
      </c>
      <c r="I118" s="36" t="str">
        <f aca="false">IF($A118="","",N(F118)*(1-N(G118))+N(H118))</f>
        <v/>
      </c>
      <c r="J118" s="36" t="str">
        <f aca="false">IF($A118="","",CEILING(I118*$B$18,500))</f>
        <v/>
      </c>
      <c r="K118" s="29"/>
      <c r="L118" s="33" t="str">
        <f aca="false">IF(OR($A118="",N(K118)=0),"",K118-K118*$B$19-N(I118))</f>
        <v/>
      </c>
      <c r="M118" s="35" t="str">
        <f aca="false">IF(OR($A118="",N(K118)=0),"",N(L118)/K118)</f>
        <v/>
      </c>
      <c r="N118" s="2"/>
    </row>
    <row r="119" customFormat="false" ht="15.75" hidden="false" customHeight="true" outlineLevel="0" collapsed="false">
      <c r="A119" s="22" t="s">
        <v>218</v>
      </c>
      <c r="B119" s="23" t="s">
        <v>95</v>
      </c>
      <c r="C119" s="23" t="s">
        <v>48</v>
      </c>
      <c r="D119" s="23" t="s">
        <v>141</v>
      </c>
      <c r="E119" s="37"/>
      <c r="F119" s="25" t="n">
        <v>5982</v>
      </c>
      <c r="G119" s="26"/>
      <c r="H119" s="25" t="n">
        <f aca="false">IF($A119="","",$D$13)</f>
        <v>1316.64032634033</v>
      </c>
      <c r="I119" s="36" t="n">
        <f aca="false">IF($A119="","",N(F119)*(1-N(G119))+N(H119))</f>
        <v>7298.64032634033</v>
      </c>
      <c r="J119" s="36" t="n">
        <f aca="false">IF($A119="","",CEILING(I119*$B$18,500))</f>
        <v>15000</v>
      </c>
      <c r="K119" s="29" t="n">
        <v>15000</v>
      </c>
      <c r="L119" s="33" t="n">
        <f aca="false">IF(OR($A119="",N(K119)=0),"",K119-K119*$B$19-N(I119))</f>
        <v>7701.35967365967</v>
      </c>
      <c r="M119" s="35" t="n">
        <f aca="false">IF(OR($A119="",N(K119)=0),"",N(L119)/K119)</f>
        <v>0.513423978243978</v>
      </c>
      <c r="N119" s="2"/>
    </row>
    <row r="120" customFormat="false" ht="15.75" hidden="false" customHeight="true" outlineLevel="0" collapsed="false">
      <c r="A120" s="22" t="s">
        <v>219</v>
      </c>
      <c r="B120" s="23" t="s">
        <v>95</v>
      </c>
      <c r="C120" s="23" t="s">
        <v>48</v>
      </c>
      <c r="D120" s="23" t="s">
        <v>141</v>
      </c>
      <c r="E120" s="23" t="s">
        <v>220</v>
      </c>
      <c r="F120" s="25" t="n">
        <v>6260</v>
      </c>
      <c r="G120" s="26"/>
      <c r="H120" s="25" t="n">
        <f aca="false">IF($A120="","",$D$13)</f>
        <v>1316.64032634033</v>
      </c>
      <c r="I120" s="36" t="n">
        <f aca="false">IF($A120="","",N(F120)*(1-N(G120))+N(H120))</f>
        <v>7576.64032634033</v>
      </c>
      <c r="J120" s="36" t="n">
        <f aca="false">IF($A120="","",CEILING(I120*$B$18,500))</f>
        <v>15500</v>
      </c>
      <c r="K120" s="29" t="n">
        <v>15000</v>
      </c>
      <c r="L120" s="33" t="n">
        <f aca="false">IF(OR($A120="",N(K120)=0),"",K120-K120*$B$19-N(I120))</f>
        <v>7423.35967365967</v>
      </c>
      <c r="M120" s="35" t="n">
        <f aca="false">IF(OR($A120="",N(K120)=0),"",N(L120)/K120)</f>
        <v>0.494890644910645</v>
      </c>
      <c r="N120" s="2"/>
    </row>
    <row r="121" customFormat="false" ht="15.75" hidden="false" customHeight="true" outlineLevel="0" collapsed="false">
      <c r="A121" s="22" t="s">
        <v>221</v>
      </c>
      <c r="B121" s="23" t="s">
        <v>140</v>
      </c>
      <c r="C121" s="23" t="s">
        <v>48</v>
      </c>
      <c r="D121" s="23" t="s">
        <v>141</v>
      </c>
      <c r="E121" s="23"/>
      <c r="F121" s="25" t="n">
        <v>5057</v>
      </c>
      <c r="G121" s="26"/>
      <c r="H121" s="25" t="n">
        <f aca="false">IF($A121="","",$D$13)</f>
        <v>1316.64032634033</v>
      </c>
      <c r="I121" s="36" t="n">
        <f aca="false">IF($A121="","",N(F121)*(1-N(G121))+N(H121))</f>
        <v>6373.64032634033</v>
      </c>
      <c r="J121" s="36" t="n">
        <f aca="false">IF($A121="","",CEILING(I121*$B$18,500))</f>
        <v>13000</v>
      </c>
      <c r="K121" s="29" t="n">
        <v>15000</v>
      </c>
      <c r="L121" s="33" t="n">
        <f aca="false">IF(OR($A121="",N(K121)=0),"",K121-K121*$B$19-N(I121))</f>
        <v>8626.35967365967</v>
      </c>
      <c r="M121" s="35" t="n">
        <f aca="false">IF(OR($A121="",N(K121)=0),"",N(L121)/K121)</f>
        <v>0.575090644910645</v>
      </c>
      <c r="N121" s="2"/>
    </row>
    <row r="122" customFormat="false" ht="15.75" hidden="false" customHeight="true" outlineLevel="0" collapsed="false">
      <c r="A122" s="22" t="s">
        <v>222</v>
      </c>
      <c r="B122" s="23" t="s">
        <v>140</v>
      </c>
      <c r="C122" s="23" t="s">
        <v>48</v>
      </c>
      <c r="D122" s="23" t="s">
        <v>141</v>
      </c>
      <c r="E122" s="23"/>
      <c r="F122" s="25" t="n">
        <v>5057</v>
      </c>
      <c r="G122" s="26"/>
      <c r="H122" s="25" t="n">
        <f aca="false">IF($A122="","",$D$13)</f>
        <v>1316.64032634033</v>
      </c>
      <c r="I122" s="36" t="n">
        <f aca="false">IF($A122="","",N(F122)*(1-N(G122))+N(H122))</f>
        <v>6373.64032634033</v>
      </c>
      <c r="J122" s="36" t="n">
        <f aca="false">IF($A122="","",CEILING(I122*$B$18,500))</f>
        <v>13000</v>
      </c>
      <c r="K122" s="29" t="n">
        <v>15000</v>
      </c>
      <c r="L122" s="33" t="n">
        <f aca="false">IF(OR($A122="",N(K122)=0),"",K122-K122*$B$19-N(I122))</f>
        <v>8626.35967365967</v>
      </c>
      <c r="M122" s="35" t="n">
        <f aca="false">IF(OR($A122="",N(K122)=0),"",N(L122)/K122)</f>
        <v>0.575090644910645</v>
      </c>
      <c r="N122" s="2"/>
    </row>
    <row r="123" customFormat="false" ht="15.75" hidden="false" customHeight="true" outlineLevel="0" collapsed="false">
      <c r="A123" s="22" t="s">
        <v>223</v>
      </c>
      <c r="B123" s="23" t="s">
        <v>140</v>
      </c>
      <c r="C123" s="23" t="s">
        <v>48</v>
      </c>
      <c r="D123" s="23" t="s">
        <v>141</v>
      </c>
      <c r="E123" s="23"/>
      <c r="F123" s="25" t="n">
        <v>7581</v>
      </c>
      <c r="G123" s="26"/>
      <c r="H123" s="25" t="n">
        <f aca="false">IF($A123="","",$D$13)</f>
        <v>1316.64032634033</v>
      </c>
      <c r="I123" s="36" t="n">
        <f aca="false">IF($A123="","",N(F123)*(1-N(G123))+N(H123))</f>
        <v>8897.64032634033</v>
      </c>
      <c r="J123" s="36" t="n">
        <f aca="false">IF($A123="","",CEILING(I123*$B$18,500))</f>
        <v>18000</v>
      </c>
      <c r="K123" s="29" t="n">
        <v>16000</v>
      </c>
      <c r="L123" s="33" t="n">
        <f aca="false">IF(OR($A123="",N(K123)=0),"",K123-K123*$B$19-N(I123))</f>
        <v>7102.35967365967</v>
      </c>
      <c r="M123" s="35" t="n">
        <f aca="false">IF(OR($A123="",N(K123)=0),"",N(L123)/K123)</f>
        <v>0.44389747960373</v>
      </c>
      <c r="N123" s="2"/>
    </row>
    <row r="124" customFormat="false" ht="15.75" hidden="false" customHeight="true" outlineLevel="0" collapsed="false">
      <c r="A124" s="22" t="s">
        <v>224</v>
      </c>
      <c r="B124" s="23" t="s">
        <v>140</v>
      </c>
      <c r="C124" s="23" t="s">
        <v>48</v>
      </c>
      <c r="D124" s="23" t="s">
        <v>141</v>
      </c>
      <c r="E124" s="23"/>
      <c r="F124" s="25" t="n">
        <v>7581</v>
      </c>
      <c r="G124" s="26"/>
      <c r="H124" s="25" t="n">
        <f aca="false">IF($A124="","",$D$13)</f>
        <v>1316.64032634033</v>
      </c>
      <c r="I124" s="36" t="n">
        <f aca="false">IF($A124="","",N(F124)*(1-N(G124))+N(H124))</f>
        <v>8897.64032634033</v>
      </c>
      <c r="J124" s="36" t="n">
        <f aca="false">IF($A124="","",CEILING(I124*$B$18,500))</f>
        <v>18000</v>
      </c>
      <c r="K124" s="29" t="n">
        <v>16000</v>
      </c>
      <c r="L124" s="33" t="n">
        <f aca="false">IF(OR($A124="",N(K124)=0),"",K124-K124*$B$19-N(I124))</f>
        <v>7102.35967365967</v>
      </c>
      <c r="M124" s="35" t="n">
        <f aca="false">IF(OR($A124="",N(K124)=0),"",N(L124)/K124)</f>
        <v>0.44389747960373</v>
      </c>
      <c r="N124" s="2"/>
    </row>
    <row r="125" customFormat="false" ht="15.75" hidden="false" customHeight="true" outlineLevel="0" collapsed="false">
      <c r="A125" s="22" t="s">
        <v>225</v>
      </c>
      <c r="B125" s="23" t="s">
        <v>140</v>
      </c>
      <c r="C125" s="23" t="s">
        <v>48</v>
      </c>
      <c r="D125" s="23" t="s">
        <v>141</v>
      </c>
      <c r="E125" s="24" t="s">
        <v>226</v>
      </c>
      <c r="F125" s="25" t="n">
        <v>8579</v>
      </c>
      <c r="G125" s="26"/>
      <c r="H125" s="25" t="n">
        <f aca="false">IF($A125="","",$D$13)</f>
        <v>1316.64032634033</v>
      </c>
      <c r="I125" s="36" t="n">
        <f aca="false">IF($A125="","",N(F125)*(1-N(G125))+N(H125))</f>
        <v>9895.64032634033</v>
      </c>
      <c r="J125" s="36" t="n">
        <f aca="false">IF($A125="","",CEILING(I125*$B$18,500))</f>
        <v>20000</v>
      </c>
      <c r="K125" s="29" t="n">
        <v>20000</v>
      </c>
      <c r="L125" s="33" t="n">
        <f aca="false">IF(OR($A125="",N(K125)=0),"",K125-K125*$B$19-N(I125))</f>
        <v>10104.3596736597</v>
      </c>
      <c r="M125" s="35" t="n">
        <f aca="false">IF(OR($A125="",N(K125)=0),"",N(L125)/K125)</f>
        <v>0.505217983682984</v>
      </c>
      <c r="N125" s="2"/>
    </row>
    <row r="126" customFormat="false" ht="15.75" hidden="false" customHeight="true" outlineLevel="0" collapsed="false">
      <c r="A126" s="22" t="s">
        <v>227</v>
      </c>
      <c r="B126" s="23" t="s">
        <v>95</v>
      </c>
      <c r="C126" s="23" t="s">
        <v>78</v>
      </c>
      <c r="D126" s="23" t="s">
        <v>141</v>
      </c>
      <c r="E126" s="24" t="s">
        <v>228</v>
      </c>
      <c r="F126" s="25" t="n">
        <v>9342</v>
      </c>
      <c r="G126" s="26"/>
      <c r="H126" s="25" t="n">
        <f aca="false">IF($A126="","",$D$13)</f>
        <v>1316.64032634033</v>
      </c>
      <c r="I126" s="36" t="n">
        <f aca="false">IF($A126="","",N(F126)*(1-N(G126))+N(H126))</f>
        <v>10658.6403263403</v>
      </c>
      <c r="J126" s="36" t="n">
        <f aca="false">IF($A126="","",CEILING(I126*$B$18,500))</f>
        <v>21500</v>
      </c>
      <c r="K126" s="29" t="n">
        <v>21500</v>
      </c>
      <c r="L126" s="33" t="n">
        <f aca="false">IF(OR($A126="",N(K126)=0),"",K126-K126*$B$19-N(I126))</f>
        <v>10841.3596736597</v>
      </c>
      <c r="M126" s="35" t="n">
        <f aca="false">IF(OR($A126="",N(K126)=0),"",N(L126)/K126)</f>
        <v>0.504249287146962</v>
      </c>
      <c r="N126" s="2"/>
    </row>
    <row r="127" customFormat="false" ht="15.75" hidden="false" customHeight="true" outlineLevel="0" collapsed="false">
      <c r="A127" s="22" t="s">
        <v>229</v>
      </c>
      <c r="B127" s="23" t="s">
        <v>140</v>
      </c>
      <c r="C127" s="23" t="s">
        <v>69</v>
      </c>
      <c r="D127" s="23" t="s">
        <v>141</v>
      </c>
      <c r="E127" s="24" t="s">
        <v>230</v>
      </c>
      <c r="F127" s="25" t="n">
        <v>3384</v>
      </c>
      <c r="G127" s="26"/>
      <c r="H127" s="25" t="n">
        <f aca="false">IF($A127="","",$D$13)</f>
        <v>1316.64032634033</v>
      </c>
      <c r="I127" s="36" t="n">
        <f aca="false">IF($A127="","",N(F127)*(1-N(G127))+N(H127))</f>
        <v>4700.64032634033</v>
      </c>
      <c r="J127" s="36" t="n">
        <f aca="false">IF($A127="","",CEILING(I127*$B$18,500))</f>
        <v>9500</v>
      </c>
      <c r="K127" s="29" t="n">
        <v>12000</v>
      </c>
      <c r="L127" s="33" t="n">
        <f aca="false">IF(OR($A127="",N(K127)=0),"",K127-K127*$B$19-N(I127))</f>
        <v>7299.35967365967</v>
      </c>
      <c r="M127" s="35" t="n">
        <f aca="false">IF(OR($A127="",N(K127)=0),"",N(L127)/K127)</f>
        <v>0.608279972804973</v>
      </c>
      <c r="N127" s="2"/>
    </row>
    <row r="128" customFormat="false" ht="15.75" hidden="false" customHeight="true" outlineLevel="0" collapsed="false">
      <c r="A128" s="22" t="s">
        <v>231</v>
      </c>
      <c r="B128" s="23" t="s">
        <v>140</v>
      </c>
      <c r="C128" s="23" t="s">
        <v>69</v>
      </c>
      <c r="D128" s="23" t="s">
        <v>141</v>
      </c>
      <c r="E128" s="23" t="s">
        <v>232</v>
      </c>
      <c r="F128" s="25" t="n">
        <v>3475</v>
      </c>
      <c r="G128" s="26"/>
      <c r="H128" s="25" t="n">
        <f aca="false">IF($A128="","",$D$13)</f>
        <v>1316.64032634033</v>
      </c>
      <c r="I128" s="36" t="n">
        <f aca="false">IF($A128="","",N(F128)*(1-N(G128))+N(H128))</f>
        <v>4791.64032634033</v>
      </c>
      <c r="J128" s="36" t="n">
        <f aca="false">IF($A128="","",CEILING(I128*$B$18,500))</f>
        <v>10000</v>
      </c>
      <c r="K128" s="29" t="n">
        <v>11500</v>
      </c>
      <c r="L128" s="33" t="n">
        <f aca="false">IF(OR($A128="",N(K128)=0),"",K128-K128*$B$19-N(I128))</f>
        <v>6708.35967365967</v>
      </c>
      <c r="M128" s="35" t="n">
        <f aca="false">IF(OR($A128="",N(K128)=0),"",N(L128)/K128)</f>
        <v>0.583335623796493</v>
      </c>
      <c r="N128" s="2"/>
    </row>
    <row r="129" customFormat="false" ht="15.75" hidden="false" customHeight="true" outlineLevel="0" collapsed="false">
      <c r="A129" s="22" t="s">
        <v>233</v>
      </c>
      <c r="B129" s="23" t="s">
        <v>95</v>
      </c>
      <c r="C129" s="23" t="s">
        <v>69</v>
      </c>
      <c r="D129" s="23" t="s">
        <v>141</v>
      </c>
      <c r="E129" s="23" t="s">
        <v>232</v>
      </c>
      <c r="F129" s="25" t="n">
        <v>3475</v>
      </c>
      <c r="G129" s="26"/>
      <c r="H129" s="25" t="n">
        <f aca="false">IF($A129="","",$D$13)</f>
        <v>1316.64032634033</v>
      </c>
      <c r="I129" s="36" t="n">
        <f aca="false">IF($A129="","",N(F129)*(1-N(G129))+N(H129))</f>
        <v>4791.64032634033</v>
      </c>
      <c r="J129" s="36" t="n">
        <f aca="false">IF($A129="","",CEILING(I129*$B$18,500))</f>
        <v>10000</v>
      </c>
      <c r="K129" s="29" t="n">
        <v>11500</v>
      </c>
      <c r="L129" s="33" t="n">
        <f aca="false">IF(OR($A129="",N(K129)=0),"",K129-K129*$B$19-N(I129))</f>
        <v>6708.35967365967</v>
      </c>
      <c r="M129" s="35" t="n">
        <f aca="false">IF(OR($A129="",N(K129)=0),"",N(L129)/K129)</f>
        <v>0.583335623796493</v>
      </c>
      <c r="N129" s="2"/>
    </row>
    <row r="130" customFormat="false" ht="15.75" hidden="false" customHeight="true" outlineLevel="0" collapsed="false">
      <c r="A130" s="22" t="s">
        <v>234</v>
      </c>
      <c r="B130" s="23" t="s">
        <v>95</v>
      </c>
      <c r="C130" s="23" t="s">
        <v>69</v>
      </c>
      <c r="D130" s="23" t="s">
        <v>141</v>
      </c>
      <c r="E130" s="24" t="s">
        <v>235</v>
      </c>
      <c r="F130" s="25" t="n">
        <v>1956</v>
      </c>
      <c r="G130" s="26"/>
      <c r="H130" s="25" t="n">
        <f aca="false">IF($A130="","",$D$13)</f>
        <v>1316.64032634033</v>
      </c>
      <c r="I130" s="36" t="n">
        <f aca="false">IF($A130="","",N(F130)*(1-N(G130))+N(H130))</f>
        <v>3272.64032634033</v>
      </c>
      <c r="J130" s="36" t="n">
        <f aca="false">IF($A130="","",CEILING(I130*$B$18,500))</f>
        <v>7000</v>
      </c>
      <c r="K130" s="29" t="n">
        <v>11500</v>
      </c>
      <c r="L130" s="33" t="n">
        <f aca="false">IF(OR($A130="",N(K130)=0),"",K130-K130*$B$19-N(I130))</f>
        <v>8227.35967365967</v>
      </c>
      <c r="M130" s="35" t="n">
        <f aca="false">IF(OR($A130="",N(K130)=0),"",N(L130)/K130)</f>
        <v>0.715422580318233</v>
      </c>
      <c r="N130" s="2"/>
    </row>
    <row r="131" customFormat="false" ht="15.75" hidden="false" customHeight="true" outlineLevel="0" collapsed="false">
      <c r="A131" s="22" t="s">
        <v>236</v>
      </c>
      <c r="B131" s="23" t="s">
        <v>140</v>
      </c>
      <c r="C131" s="23" t="s">
        <v>192</v>
      </c>
      <c r="D131" s="23" t="s">
        <v>141</v>
      </c>
      <c r="E131" s="24" t="s">
        <v>237</v>
      </c>
      <c r="F131" s="25" t="n">
        <v>2028</v>
      </c>
      <c r="G131" s="26"/>
      <c r="H131" s="25" t="n">
        <f aca="false">IF($A131="","",$D$13)</f>
        <v>1316.64032634033</v>
      </c>
      <c r="I131" s="36" t="n">
        <f aca="false">IF($A131="","",N(F131)*(1-N(G131))+N(H131))</f>
        <v>3344.64032634033</v>
      </c>
      <c r="J131" s="36" t="n">
        <f aca="false">IF($A131="","",CEILING(I131*$B$18,500))</f>
        <v>7000</v>
      </c>
      <c r="K131" s="29" t="n">
        <v>10000</v>
      </c>
      <c r="L131" s="33" t="n">
        <f aca="false">IF(OR($A131="",N(K131)=0),"",K131-K131*$B$19-N(I131))</f>
        <v>6655.35967365967</v>
      </c>
      <c r="M131" s="35" t="n">
        <f aca="false">IF(OR($A131="",N(K131)=0),"",N(L131)/K131)</f>
        <v>0.665535967365967</v>
      </c>
      <c r="N131" s="2"/>
    </row>
    <row r="132" customFormat="false" ht="15.75" hidden="false" customHeight="true" outlineLevel="0" collapsed="false">
      <c r="A132" s="22"/>
      <c r="B132" s="23"/>
      <c r="C132" s="23"/>
      <c r="D132" s="23" t="s">
        <v>141</v>
      </c>
      <c r="E132" s="19" t="s">
        <v>237</v>
      </c>
      <c r="F132" s="25"/>
      <c r="G132" s="26"/>
      <c r="H132" s="25" t="str">
        <f aca="false">IF($A132="","",$D$13)</f>
        <v/>
      </c>
      <c r="I132" s="36" t="str">
        <f aca="false">IF($A132="","",N(F132)*(1-N(G132))+N(H132))</f>
        <v/>
      </c>
      <c r="J132" s="36" t="str">
        <f aca="false">IF($A132="","",CEILING(I132*$B$18,500))</f>
        <v/>
      </c>
      <c r="K132" s="29"/>
      <c r="L132" s="33" t="str">
        <f aca="false">IF(OR($A132="",N(K132)=0),"",K132-K132*$B$19-N(I132))</f>
        <v/>
      </c>
      <c r="M132" s="35" t="str">
        <f aca="false">IF(OR($A132="",N(K132)=0),"",N(L132)/K132)</f>
        <v/>
      </c>
      <c r="N132" s="2"/>
    </row>
    <row r="133" customFormat="false" ht="15.75" hidden="false" customHeight="true" outlineLevel="0" collapsed="false">
      <c r="A133" s="22"/>
      <c r="B133" s="23"/>
      <c r="C133" s="23"/>
      <c r="D133" s="23"/>
      <c r="E133" s="32"/>
      <c r="F133" s="25"/>
      <c r="G133" s="26"/>
      <c r="H133" s="25" t="str">
        <f aca="false">IF($A133="","",$D$13)</f>
        <v/>
      </c>
      <c r="I133" s="36" t="str">
        <f aca="false">IF($A133="","",N(F133)*(1-N(G133))+N(H133))</f>
        <v/>
      </c>
      <c r="J133" s="36" t="str">
        <f aca="false">IF($A133="","",CEILING(I133*$B$18,500))</f>
        <v/>
      </c>
      <c r="K133" s="29"/>
      <c r="L133" s="33" t="str">
        <f aca="false">IF(OR($A133="",N(K133)=0),"",K133-K133*$B$19-N(I133))</f>
        <v/>
      </c>
      <c r="M133" s="35" t="str">
        <f aca="false">IF(OR($A133="",N(K133)=0),"",N(L133)/K133)</f>
        <v/>
      </c>
      <c r="N133" s="2"/>
    </row>
    <row r="134" customFormat="false" ht="15.75" hidden="false" customHeight="true" outlineLevel="0" collapsed="false">
      <c r="A134" s="22" t="s">
        <v>238</v>
      </c>
      <c r="B134" s="23" t="s">
        <v>140</v>
      </c>
      <c r="C134" s="23" t="s">
        <v>78</v>
      </c>
      <c r="D134" s="23" t="s">
        <v>141</v>
      </c>
      <c r="E134" s="32"/>
      <c r="F134" s="25" t="n">
        <v>10272</v>
      </c>
      <c r="G134" s="26"/>
      <c r="H134" s="25" t="n">
        <f aca="false">IF($A134="","",$D$13)</f>
        <v>1316.64032634033</v>
      </c>
      <c r="I134" s="36" t="n">
        <f aca="false">IF($A134="","",N(F134)*(1-N(G134))+N(H134))</f>
        <v>11588.6403263403</v>
      </c>
      <c r="J134" s="36" t="n">
        <f aca="false">IF($A134="","",CEILING(I134*$B$18,500))</f>
        <v>23500</v>
      </c>
      <c r="K134" s="29" t="n">
        <v>24000</v>
      </c>
      <c r="L134" s="33" t="n">
        <f aca="false">IF(OR($A134="",N(K134)=0),"",K134-K134*$B$19-N(I134))</f>
        <v>12411.3596736597</v>
      </c>
      <c r="M134" s="35" t="n">
        <f aca="false">IF(OR($A134="",N(K134)=0),"",N(L134)/K134)</f>
        <v>0.517139986402486</v>
      </c>
      <c r="N134" s="2"/>
    </row>
    <row r="135" customFormat="false" ht="15.75" hidden="false" customHeight="true" outlineLevel="0" collapsed="false">
      <c r="A135" s="22" t="s">
        <v>239</v>
      </c>
      <c r="B135" s="23" t="s">
        <v>140</v>
      </c>
      <c r="C135" s="23" t="s">
        <v>78</v>
      </c>
      <c r="D135" s="23" t="s">
        <v>141</v>
      </c>
      <c r="E135" s="32"/>
      <c r="F135" s="25" t="n">
        <v>10272</v>
      </c>
      <c r="G135" s="26"/>
      <c r="H135" s="25" t="n">
        <f aca="false">IF($A135="","",$D$13)</f>
        <v>1316.64032634033</v>
      </c>
      <c r="I135" s="36" t="n">
        <f aca="false">IF($A135="","",N(F135)*(1-N(G135))+N(H135))</f>
        <v>11588.6403263403</v>
      </c>
      <c r="J135" s="36" t="n">
        <f aca="false">IF($A135="","",CEILING(I135*$B$18,500))</f>
        <v>23500</v>
      </c>
      <c r="K135" s="29" t="n">
        <v>24000</v>
      </c>
      <c r="L135" s="33" t="n">
        <f aca="false">IF(OR($A135="",N(K135)=0),"",K135-K135*$B$19-N(I135))</f>
        <v>12411.3596736597</v>
      </c>
      <c r="M135" s="35" t="n">
        <f aca="false">IF(OR($A135="",N(K135)=0),"",N(L135)/K135)</f>
        <v>0.517139986402486</v>
      </c>
      <c r="N135" s="2"/>
    </row>
    <row r="136" customFormat="false" ht="15.75" hidden="false" customHeight="true" outlineLevel="0" collapsed="false">
      <c r="A136" s="22" t="s">
        <v>240</v>
      </c>
      <c r="B136" s="23" t="s">
        <v>95</v>
      </c>
      <c r="C136" s="23" t="s">
        <v>78</v>
      </c>
      <c r="D136" s="23" t="s">
        <v>141</v>
      </c>
      <c r="E136" s="32" t="s">
        <v>241</v>
      </c>
      <c r="F136" s="25" t="n">
        <v>2825</v>
      </c>
      <c r="G136" s="26"/>
      <c r="H136" s="25" t="n">
        <f aca="false">IF($A136="","",$D$13)</f>
        <v>1316.64032634033</v>
      </c>
      <c r="I136" s="36" t="n">
        <f aca="false">IF($A136="","",N(F136)*(1-N(G136))+N(H136))</f>
        <v>4141.64032634033</v>
      </c>
      <c r="J136" s="36" t="n">
        <f aca="false">IF($A136="","",CEILING(I136*$B$18,500))</f>
        <v>8500</v>
      </c>
      <c r="K136" s="29" t="n">
        <v>9000</v>
      </c>
      <c r="L136" s="33" t="n">
        <f aca="false">IF(OR($A136="",N(K136)=0),"",K136-K136*$B$19-N(I136))</f>
        <v>4858.35967365967</v>
      </c>
      <c r="M136" s="35" t="n">
        <f aca="false">IF(OR($A136="",N(K136)=0),"",N(L136)/K136)</f>
        <v>0.539817741517742</v>
      </c>
      <c r="N136" s="2"/>
    </row>
    <row r="137" customFormat="false" ht="15.75" hidden="false" customHeight="true" outlineLevel="0" collapsed="false">
      <c r="A137" s="22"/>
      <c r="B137" s="23"/>
      <c r="C137" s="23"/>
      <c r="D137" s="23"/>
      <c r="E137" s="32" t="s">
        <v>241</v>
      </c>
      <c r="F137" s="25"/>
      <c r="G137" s="26"/>
      <c r="H137" s="25" t="str">
        <f aca="false">IF($A137="","",$D$13)</f>
        <v/>
      </c>
      <c r="I137" s="36" t="str">
        <f aca="false">IF($A137="","",N(F137)*(1-N(G137))+N(H137))</f>
        <v/>
      </c>
      <c r="J137" s="36" t="str">
        <f aca="false">IF($A137="","",CEILING(I137*$B$18,500))</f>
        <v/>
      </c>
      <c r="K137" s="29"/>
      <c r="L137" s="33" t="str">
        <f aca="false">IF(OR($A137="",N(K137)=0),"",K137-K137*$B$19-N(I137))</f>
        <v/>
      </c>
      <c r="M137" s="35" t="str">
        <f aca="false">IF(OR($A137="",N(K137)=0),"",N(L137)/K137)</f>
        <v/>
      </c>
      <c r="N137" s="2"/>
    </row>
    <row r="138" customFormat="false" ht="15.75" hidden="false" customHeight="true" outlineLevel="0" collapsed="false">
      <c r="A138" s="22"/>
      <c r="B138" s="23"/>
      <c r="C138" s="23"/>
      <c r="D138" s="23"/>
      <c r="E138" s="32"/>
      <c r="F138" s="25"/>
      <c r="G138" s="26"/>
      <c r="H138" s="25" t="str">
        <f aca="false">IF($A138="","",$D$13)</f>
        <v/>
      </c>
      <c r="I138" s="36" t="str">
        <f aca="false">IF($A138="","",N(F138)*(1-N(G138))+N(H138))</f>
        <v/>
      </c>
      <c r="J138" s="36" t="str">
        <f aca="false">IF($A138="","",CEILING(I138*$B$18,500))</f>
        <v/>
      </c>
      <c r="K138" s="29"/>
      <c r="L138" s="33" t="str">
        <f aca="false">IF(OR($A138="",N(K138)=0),"",K138-K138*$B$19-N(I138))</f>
        <v/>
      </c>
      <c r="M138" s="35" t="str">
        <f aca="false">IF(OR($A138="",N(K138)=0),"",N(L138)/K138)</f>
        <v/>
      </c>
      <c r="N138" s="2"/>
    </row>
    <row r="139" customFormat="false" ht="15.75" hidden="false" customHeight="true" outlineLevel="0" collapsed="false">
      <c r="A139" s="22"/>
      <c r="B139" s="23"/>
      <c r="C139" s="23"/>
      <c r="D139" s="23"/>
      <c r="E139" s="32"/>
      <c r="F139" s="25"/>
      <c r="G139" s="26"/>
      <c r="H139" s="25" t="str">
        <f aca="false">IF($A139="","",$D$13)</f>
        <v/>
      </c>
      <c r="I139" s="36" t="str">
        <f aca="false">IF($A139="","",N(F139)*(1-N(G139))+N(H139))</f>
        <v/>
      </c>
      <c r="J139" s="36" t="str">
        <f aca="false">IF($A139="","",CEILING(I139*$B$18,500))</f>
        <v/>
      </c>
      <c r="K139" s="29"/>
      <c r="L139" s="33" t="str">
        <f aca="false">IF(OR($A139="",N(K139)=0),"",K139-K139*$B$19-N(I139))</f>
        <v/>
      </c>
      <c r="M139" s="35" t="str">
        <f aca="false">IF(OR($A139="",N(K139)=0),"",N(L139)/K139)</f>
        <v/>
      </c>
      <c r="N139" s="2"/>
    </row>
    <row r="140" customFormat="false" ht="15.75" hidden="false" customHeight="true" outlineLevel="0" collapsed="false">
      <c r="A140" s="22"/>
      <c r="B140" s="23"/>
      <c r="C140" s="23"/>
      <c r="D140" s="23"/>
      <c r="E140" s="32"/>
      <c r="F140" s="25"/>
      <c r="G140" s="26"/>
      <c r="H140" s="25" t="str">
        <f aca="false">IF($A140="","",$D$13)</f>
        <v/>
      </c>
      <c r="I140" s="36" t="str">
        <f aca="false">IF($A140="","",N(F140)*(1-N(G140))+N(H140))</f>
        <v/>
      </c>
      <c r="J140" s="36" t="str">
        <f aca="false">IF($A140="","",CEILING(I140*$B$18,500))</f>
        <v/>
      </c>
      <c r="K140" s="29"/>
      <c r="L140" s="33" t="str">
        <f aca="false">IF(OR($A140="",N(K140)=0),"",K140-K140*$B$19-N(I140))</f>
        <v/>
      </c>
      <c r="M140" s="35" t="str">
        <f aca="false">IF(OR($A140="",N(K140)=0),"",N(L140)/K140)</f>
        <v/>
      </c>
      <c r="N140" s="2"/>
    </row>
    <row r="141" customFormat="false" ht="15.75" hidden="false" customHeight="true" outlineLevel="0" collapsed="false">
      <c r="A141" s="22"/>
      <c r="B141" s="23"/>
      <c r="C141" s="23"/>
      <c r="D141" s="23"/>
      <c r="E141" s="32"/>
      <c r="F141" s="25"/>
      <c r="G141" s="26"/>
      <c r="H141" s="25" t="str">
        <f aca="false">IF($A141="","",$D$13)</f>
        <v/>
      </c>
      <c r="I141" s="36" t="str">
        <f aca="false">IF($A141="","",N(F141)*(1-N(G141))+N(H141))</f>
        <v/>
      </c>
      <c r="J141" s="36" t="str">
        <f aca="false">IF($A141="","",CEILING(I141*$B$18,500))</f>
        <v/>
      </c>
      <c r="K141" s="29"/>
      <c r="L141" s="33" t="str">
        <f aca="false">IF(OR($A141="",N(K141)=0),"",K141-K141*$B$19-N(I141))</f>
        <v/>
      </c>
      <c r="M141" s="35" t="str">
        <f aca="false">IF(OR($A141="",N(K141)=0),"",N(L141)/K141)</f>
        <v/>
      </c>
      <c r="N141" s="2"/>
    </row>
    <row r="142" customFormat="false" ht="15.75" hidden="false" customHeight="true" outlineLevel="0" collapsed="false">
      <c r="A142" s="22"/>
      <c r="B142" s="23"/>
      <c r="C142" s="23"/>
      <c r="D142" s="23"/>
      <c r="E142" s="32"/>
      <c r="F142" s="25"/>
      <c r="G142" s="26"/>
      <c r="H142" s="25" t="str">
        <f aca="false">IF($A142="","",$D$13)</f>
        <v/>
      </c>
      <c r="I142" s="36" t="str">
        <f aca="false">IF($A142="","",N(F142)*(1-N(G142))+N(H142))</f>
        <v/>
      </c>
      <c r="J142" s="36" t="str">
        <f aca="false">IF($A142="","",CEILING(I142*$B$18,500))</f>
        <v/>
      </c>
      <c r="K142" s="29"/>
      <c r="L142" s="33" t="str">
        <f aca="false">IF(OR($A142="",N(K142)=0),"",K142-K142*$B$19-N(I142))</f>
        <v/>
      </c>
      <c r="M142" s="35" t="str">
        <f aca="false">IF(OR($A142="",N(K142)=0),"",N(L142)/K142)</f>
        <v/>
      </c>
      <c r="N142" s="2"/>
    </row>
    <row r="143" customFormat="false" ht="15.75" hidden="false" customHeight="true" outlineLevel="0" collapsed="false">
      <c r="A143" s="22"/>
      <c r="B143" s="23"/>
      <c r="C143" s="23"/>
      <c r="D143" s="23"/>
      <c r="E143" s="32"/>
      <c r="F143" s="25"/>
      <c r="G143" s="26"/>
      <c r="H143" s="25" t="str">
        <f aca="false">IF($A143="","",$D$13)</f>
        <v/>
      </c>
      <c r="I143" s="36" t="str">
        <f aca="false">IF($A143="","",N(F143)*(1-N(G143))+N(H143))</f>
        <v/>
      </c>
      <c r="J143" s="36" t="str">
        <f aca="false">IF($A143="","",CEILING(I143*$B$18,500))</f>
        <v/>
      </c>
      <c r="K143" s="29"/>
      <c r="L143" s="33" t="str">
        <f aca="false">IF(OR($A143="",N(K143)=0),"",K143-K143*$B$19-N(I143))</f>
        <v/>
      </c>
      <c r="M143" s="35" t="str">
        <f aca="false">IF(OR($A143="",N(K143)=0),"",N(L143)/K143)</f>
        <v/>
      </c>
      <c r="N143" s="2"/>
    </row>
    <row r="144" customFormat="false" ht="15.75" hidden="false" customHeight="true" outlineLevel="0" collapsed="false">
      <c r="A144" s="22"/>
      <c r="B144" s="23"/>
      <c r="C144" s="23"/>
      <c r="D144" s="23"/>
      <c r="E144" s="32"/>
      <c r="F144" s="25"/>
      <c r="G144" s="26"/>
      <c r="H144" s="25" t="str">
        <f aca="false">IF($A144="","",$D$13)</f>
        <v/>
      </c>
      <c r="I144" s="36" t="str">
        <f aca="false">IF($A144="","",N(F144)*(1-N(G144))+N(H144))</f>
        <v/>
      </c>
      <c r="J144" s="36" t="str">
        <f aca="false">IF($A144="","",CEILING(I144*$B$18,500))</f>
        <v/>
      </c>
      <c r="K144" s="29"/>
      <c r="L144" s="33" t="str">
        <f aca="false">IF(OR($A144="",N(K144)=0),"",K144-K144*$B$19-N(I144))</f>
        <v/>
      </c>
      <c r="M144" s="35" t="str">
        <f aca="false">IF(OR($A144="",N(K144)=0),"",N(L144)/K144)</f>
        <v/>
      </c>
      <c r="N144" s="2"/>
    </row>
    <row r="145" customFormat="false" ht="15.75" hidden="false" customHeight="true" outlineLevel="0" collapsed="false">
      <c r="A145" s="22"/>
      <c r="B145" s="23"/>
      <c r="C145" s="23"/>
      <c r="D145" s="23"/>
      <c r="E145" s="32"/>
      <c r="F145" s="25"/>
      <c r="G145" s="26"/>
      <c r="H145" s="25" t="str">
        <f aca="false">IF($A145="","",$D$13)</f>
        <v/>
      </c>
      <c r="I145" s="36" t="str">
        <f aca="false">IF($A145="","",N(F145)*(1-N(G145))+N(H145))</f>
        <v/>
      </c>
      <c r="J145" s="36" t="str">
        <f aca="false">IF($A145="","",CEILING(I145*$B$18,500))</f>
        <v/>
      </c>
      <c r="K145" s="29"/>
      <c r="L145" s="33" t="str">
        <f aca="false">IF(OR($A145="",N(K145)=0),"",K145-K145*$B$19-N(I145))</f>
        <v/>
      </c>
      <c r="M145" s="35" t="str">
        <f aca="false">IF(OR($A145="",N(K145)=0),"",N(L145)/K145)</f>
        <v/>
      </c>
      <c r="N145" s="2"/>
    </row>
    <row r="146" customFormat="false" ht="15.75" hidden="false" customHeight="true" outlineLevel="0" collapsed="false">
      <c r="A146" s="22"/>
      <c r="B146" s="23"/>
      <c r="C146" s="23"/>
      <c r="D146" s="23"/>
      <c r="E146" s="32"/>
      <c r="F146" s="25"/>
      <c r="G146" s="26"/>
      <c r="H146" s="25" t="str">
        <f aca="false">IF($A146="","",$D$13)</f>
        <v/>
      </c>
      <c r="I146" s="36" t="str">
        <f aca="false">IF($A146="","",N(F146)*(1-N(G146))+N(H146))</f>
        <v/>
      </c>
      <c r="J146" s="36" t="str">
        <f aca="false">IF($A146="","",CEILING(I146*$B$18,500))</f>
        <v/>
      </c>
      <c r="K146" s="29"/>
      <c r="L146" s="33" t="str">
        <f aca="false">IF(OR($A146="",N(K146)=0),"",K146-K146*$B$19-N(I146))</f>
        <v/>
      </c>
      <c r="M146" s="35" t="str">
        <f aca="false">IF(OR($A146="",N(K146)=0),"",N(L146)/K146)</f>
        <v/>
      </c>
      <c r="N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 t="str">
        <f aca="false">IF($A147="","",$D$13)</f>
        <v/>
      </c>
      <c r="I147" s="2" t="str">
        <f aca="false">IF($A147="","",N(F147)*(1-N(G147))+N(H147))</f>
        <v/>
      </c>
      <c r="J147" s="2" t="str">
        <f aca="false">IF($A147="","",CEILING(I147*$B$18,500))</f>
        <v/>
      </c>
      <c r="K147" s="2"/>
      <c r="L147" s="2" t="str">
        <f aca="false">IF(OR($A147="",N(K147)=0),"",K147-K147*$B$19-N(I147))</f>
        <v/>
      </c>
      <c r="M147" s="2" t="str">
        <f aca="false">IF(OR($A147="",N(K147)=0),"",N(L147)/K147)</f>
        <v/>
      </c>
      <c r="N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 t="str">
        <f aca="false">IF($A148="","",$D$13)</f>
        <v/>
      </c>
      <c r="I148" s="2" t="str">
        <f aca="false">IF($A148="","",N(F148)*(1-N(G148))+N(H148))</f>
        <v/>
      </c>
      <c r="J148" s="2" t="str">
        <f aca="false">IF($A148="","",CEILING(I148*$B$18,500))</f>
        <v/>
      </c>
      <c r="K148" s="2"/>
      <c r="L148" s="2" t="str">
        <f aca="false">IF(OR($A148="",N(K148)=0),"",K148-K148*$B$19-N(I148))</f>
        <v/>
      </c>
      <c r="M148" s="2" t="str">
        <f aca="false">IF(OR($A148="",N(K148)=0),"",N(L148)/K148)</f>
        <v/>
      </c>
      <c r="N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 t="str">
        <f aca="false">IF($A149="","",$D$13)</f>
        <v/>
      </c>
      <c r="I149" s="2" t="str">
        <f aca="false">IF($A149="","",N(F149)*(1-N(G149))+N(H149))</f>
        <v/>
      </c>
      <c r="J149" s="2" t="str">
        <f aca="false">IF($A149="","",CEILING(I149*$B$18,500))</f>
        <v/>
      </c>
      <c r="K149" s="2"/>
      <c r="L149" s="2" t="str">
        <f aca="false">IF(OR($A149="",N(K149)=0),"",K149-K149*$B$19-N(I149))</f>
        <v/>
      </c>
      <c r="M149" s="2" t="str">
        <f aca="false">IF(OR($A149="",N(K149)=0),"",N(L149)/K149)</f>
        <v/>
      </c>
      <c r="N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 t="str">
        <f aca="false">IF($A150="","",$D$13)</f>
        <v/>
      </c>
      <c r="I150" s="2" t="str">
        <f aca="false">IF($A150="","",N(F150)*(1-N(G150))+N(H150))</f>
        <v/>
      </c>
      <c r="J150" s="2" t="str">
        <f aca="false">IF($A150="","",CEILING(I150*$B$18,500))</f>
        <v/>
      </c>
      <c r="K150" s="2"/>
      <c r="L150" s="2" t="str">
        <f aca="false">IF(OR($A150="",N(K150)=0),"",K150-K150*$B$19-N(I150))</f>
        <v/>
      </c>
      <c r="M150" s="2" t="str">
        <f aca="false">IF(OR($A150="",N(K150)=0),"",N(L150)/K150)</f>
        <v/>
      </c>
      <c r="N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 t="str">
        <f aca="false">IF($A151="","",$D$13)</f>
        <v/>
      </c>
      <c r="I151" s="2" t="str">
        <f aca="false">IF($A151="","",N(F151)*(1-N(G151))+N(H151))</f>
        <v/>
      </c>
      <c r="J151" s="2" t="str">
        <f aca="false">IF($A151="","",CEILING(I151*$B$18,500))</f>
        <v/>
      </c>
      <c r="K151" s="2"/>
      <c r="L151" s="2" t="str">
        <f aca="false">IF(OR($A151="",N(K151)=0),"",K151-K151*$B$19-N(I151))</f>
        <v/>
      </c>
      <c r="M151" s="2" t="str">
        <f aca="false">IF(OR($A151="",N(K151)=0),"",N(L151)/K151)</f>
        <v/>
      </c>
      <c r="N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 t="str">
        <f aca="false">IF($A152="","",$D$13)</f>
        <v/>
      </c>
      <c r="I152" s="2" t="str">
        <f aca="false">IF($A152="","",N(F152)*(1-N(G152))+N(H152))</f>
        <v/>
      </c>
      <c r="J152" s="2" t="str">
        <f aca="false">IF($A152="","",CEILING(I152*$B$18,500))</f>
        <v/>
      </c>
      <c r="K152" s="2"/>
      <c r="L152" s="2" t="str">
        <f aca="false">IF(OR($A152="",N(K152)=0),"",K152-K152*$B$19-N(I152))</f>
        <v/>
      </c>
      <c r="M152" s="2" t="str">
        <f aca="false">IF(OR($A152="",N(K152)=0),"",N(L152)/K152)</f>
        <v/>
      </c>
      <c r="N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 t="str">
        <f aca="false">IF($A153="","",$D$13)</f>
        <v/>
      </c>
      <c r="I153" s="2" t="str">
        <f aca="false">IF($A153="","",N(F153)*(1-N(G153))+N(H153))</f>
        <v/>
      </c>
      <c r="J153" s="2" t="str">
        <f aca="false">IF($A153="","",CEILING(I153*$B$18,500))</f>
        <v/>
      </c>
      <c r="K153" s="2"/>
      <c r="L153" s="2" t="str">
        <f aca="false">IF(OR($A153="",N(K153)=0),"",K153-K153*$B$19-N(I153))</f>
        <v/>
      </c>
      <c r="M153" s="2" t="str">
        <f aca="false">IF(OR($A153="",N(K153)=0),"",N(L153)/K153)</f>
        <v/>
      </c>
      <c r="N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 t="str">
        <f aca="false">IF($A154="","",$D$13)</f>
        <v/>
      </c>
      <c r="I154" s="2" t="str">
        <f aca="false">IF($A154="","",N(F154)*(1-N(G154))+N(H154))</f>
        <v/>
      </c>
      <c r="J154" s="2" t="str">
        <f aca="false">IF($A154="","",CEILING(I154*$B$18,500))</f>
        <v/>
      </c>
      <c r="K154" s="2"/>
      <c r="L154" s="2" t="str">
        <f aca="false">IF(OR($A154="",N(K154)=0),"",K154-K154*$B$19-N(I154))</f>
        <v/>
      </c>
      <c r="M154" s="2" t="str">
        <f aca="false">IF(OR($A154="",N(K154)=0),"",N(L154)/K154)</f>
        <v/>
      </c>
      <c r="N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 t="str">
        <f aca="false">IF($A155="","",$D$13)</f>
        <v/>
      </c>
      <c r="I155" s="2" t="str">
        <f aca="false">IF($A155="","",N(F155)*(1-N(G155))+N(H155))</f>
        <v/>
      </c>
      <c r="J155" s="2" t="str">
        <f aca="false">IF($A155="","",CEILING(I155*$B$18,500))</f>
        <v/>
      </c>
      <c r="K155" s="2"/>
      <c r="L155" s="2" t="str">
        <f aca="false">IF(OR($A155="",N(K155)=0),"",K155-K155*$B$19-N(I155))</f>
        <v/>
      </c>
      <c r="M155" s="2" t="str">
        <f aca="false">IF(OR($A155="",N(K155)=0),"",N(L155)/K155)</f>
        <v/>
      </c>
      <c r="N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 t="str">
        <f aca="false">IF($A156="","",$D$13)</f>
        <v/>
      </c>
      <c r="I156" s="2" t="str">
        <f aca="false">IF($A156="","",N(F156)*(1-N(G156))+N(H156))</f>
        <v/>
      </c>
      <c r="J156" s="2" t="str">
        <f aca="false">IF($A156="","",CEILING(I156*$B$18,500))</f>
        <v/>
      </c>
      <c r="K156" s="2"/>
      <c r="L156" s="2" t="str">
        <f aca="false">IF(OR($A156="",N(K156)=0),"",K156-K156*$B$19-N(I156))</f>
        <v/>
      </c>
      <c r="M156" s="2" t="str">
        <f aca="false">IF(OR($A156="",N(K156)=0),"",N(L156)/K156)</f>
        <v/>
      </c>
      <c r="N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 t="str">
        <f aca="false">IF($A157="","",$D$13)</f>
        <v/>
      </c>
      <c r="I157" s="2" t="str">
        <f aca="false">IF($A157="","",N(F157)*(1-N(G157))+N(H157))</f>
        <v/>
      </c>
      <c r="J157" s="2" t="str">
        <f aca="false">IF($A157="","",CEILING(I157*$B$18,500))</f>
        <v/>
      </c>
      <c r="K157" s="2"/>
      <c r="L157" s="2" t="str">
        <f aca="false">IF(OR($A157="",N(K157)=0),"",K157-K157*$B$19-N(I157))</f>
        <v/>
      </c>
      <c r="M157" s="2" t="str">
        <f aca="false">IF(OR($A157="",N(K157)=0),"",N(L157)/K157)</f>
        <v/>
      </c>
      <c r="N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 t="str">
        <f aca="false">IF($A158="","",$D$13)</f>
        <v/>
      </c>
      <c r="I158" s="2" t="str">
        <f aca="false">IF($A158="","",N(F158)*(1-N(G158))+N(H158))</f>
        <v/>
      </c>
      <c r="J158" s="2" t="str">
        <f aca="false">IF($A158="","",CEILING(I158*$B$18,500))</f>
        <v/>
      </c>
      <c r="K158" s="2"/>
      <c r="L158" s="2" t="str">
        <f aca="false">IF(OR($A158="",N(K158)=0),"",K158-K158*$B$19-N(I158))</f>
        <v/>
      </c>
      <c r="M158" s="2" t="str">
        <f aca="false">IF(OR($A158="",N(K158)=0),"",N(L158)/K158)</f>
        <v/>
      </c>
      <c r="N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 t="str">
        <f aca="false">IF($A159="","",$D$13)</f>
        <v/>
      </c>
      <c r="I159" s="2" t="str">
        <f aca="false">IF($A159="","",N(F159)*(1-N(G159))+N(H159))</f>
        <v/>
      </c>
      <c r="J159" s="2" t="str">
        <f aca="false">IF($A159="","",CEILING(I159*$B$18,500))</f>
        <v/>
      </c>
      <c r="K159" s="2"/>
      <c r="L159" s="2" t="str">
        <f aca="false">IF(OR($A159="",N(K159)=0),"",K159-K159*$B$19-N(I159))</f>
        <v/>
      </c>
      <c r="M159" s="2" t="str">
        <f aca="false">IF(OR($A159="",N(K159)=0),"",N(L159)/K159)</f>
        <v/>
      </c>
      <c r="N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 t="str">
        <f aca="false">IF($A160="","",$D$13)</f>
        <v/>
      </c>
      <c r="I160" s="2" t="str">
        <f aca="false">IF($A160="","",N(F160)*(1-N(G160))+N(H160))</f>
        <v/>
      </c>
      <c r="J160" s="2" t="str">
        <f aca="false">IF($A160="","",CEILING(I160*$B$18,500))</f>
        <v/>
      </c>
      <c r="K160" s="2"/>
      <c r="L160" s="2" t="str">
        <f aca="false">IF(OR($A160="",N(K160)=0),"",K160-K160*$B$19-N(I160))</f>
        <v/>
      </c>
      <c r="M160" s="2" t="str">
        <f aca="false">IF(OR($A160="",N(K160)=0),"",N(L160)/K160)</f>
        <v/>
      </c>
      <c r="N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 t="str">
        <f aca="false">IF($A161="","",$D$13)</f>
        <v/>
      </c>
      <c r="I161" s="2" t="str">
        <f aca="false">IF($A161="","",N(F161)*(1-N(G161))+N(H161))</f>
        <v/>
      </c>
      <c r="J161" s="2" t="str">
        <f aca="false">IF($A161="","",CEILING(I161*$B$18,500))</f>
        <v/>
      </c>
      <c r="K161" s="2"/>
      <c r="L161" s="2" t="str">
        <f aca="false">IF(OR($A161="",N(K161)=0),"",K161-K161*$B$19-N(I161))</f>
        <v/>
      </c>
      <c r="M161" s="2" t="str">
        <f aca="false">IF(OR($A161="",N(K161)=0),"",N(L161)/K161)</f>
        <v/>
      </c>
      <c r="N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 t="str">
        <f aca="false">IF($A162="","",$D$13)</f>
        <v/>
      </c>
      <c r="I162" s="2" t="str">
        <f aca="false">IF($A162="","",N(F162)*(1-N(G162))+N(H162))</f>
        <v/>
      </c>
      <c r="J162" s="2" t="str">
        <f aca="false">IF($A162="","",CEILING(I162*$B$18,500))</f>
        <v/>
      </c>
      <c r="K162" s="2"/>
      <c r="L162" s="2" t="str">
        <f aca="false">IF(OR($A162="",N(K162)=0),"",K162-K162*$B$19-N(I162))</f>
        <v/>
      </c>
      <c r="M162" s="2" t="str">
        <f aca="false">IF(OR($A162="",N(K162)=0),"",N(L162)/K162)</f>
        <v/>
      </c>
      <c r="N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 t="str">
        <f aca="false">IF($A163="","",$D$13)</f>
        <v/>
      </c>
      <c r="I163" s="2" t="str">
        <f aca="false">IF($A163="","",N(F163)*(1-N(G163))+N(H163))</f>
        <v/>
      </c>
      <c r="J163" s="2" t="str">
        <f aca="false">IF($A163="","",CEILING(I163*$B$18,500))</f>
        <v/>
      </c>
      <c r="K163" s="2"/>
      <c r="L163" s="2" t="str">
        <f aca="false">IF(OR($A163="",N(K163)=0),"",K163-K163*$B$19-N(I163))</f>
        <v/>
      </c>
      <c r="M163" s="2" t="str">
        <f aca="false">IF(OR($A163="",N(K163)=0),"",N(L163)/K163)</f>
        <v/>
      </c>
      <c r="N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 t="str">
        <f aca="false">IF($A164="","",$D$13)</f>
        <v/>
      </c>
      <c r="I164" s="2" t="str">
        <f aca="false">IF($A164="","",N(F164)*(1-N(G164))+N(H164))</f>
        <v/>
      </c>
      <c r="J164" s="2" t="str">
        <f aca="false">IF($A164="","",CEILING(I164*$B$18,500))</f>
        <v/>
      </c>
      <c r="K164" s="2"/>
      <c r="L164" s="2" t="str">
        <f aca="false">IF(OR($A164="",N(K164)=0),"",K164-K164*$B$19-N(I164))</f>
        <v/>
      </c>
      <c r="M164" s="2" t="str">
        <f aca="false">IF(OR($A164="",N(K164)=0),"",N(L164)/K164)</f>
        <v/>
      </c>
      <c r="N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 t="str">
        <f aca="false">IF($A165="","",$D$13)</f>
        <v/>
      </c>
      <c r="I165" s="2" t="str">
        <f aca="false">IF($A165="","",N(F165)*(1-N(G165))+N(H165))</f>
        <v/>
      </c>
      <c r="J165" s="2" t="str">
        <f aca="false">IF($A165="","",CEILING(I165*$B$18,500))</f>
        <v/>
      </c>
      <c r="K165" s="2"/>
      <c r="L165" s="2" t="str">
        <f aca="false">IF(OR($A165="",N(K165)=0),"",K165-K165*$B$19-N(I165))</f>
        <v/>
      </c>
      <c r="M165" s="2" t="str">
        <f aca="false">IF(OR($A165="",N(K165)=0),"",N(L165)/K165)</f>
        <v/>
      </c>
      <c r="N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 t="str">
        <f aca="false">IF($A166="","",$D$13)</f>
        <v/>
      </c>
      <c r="I166" s="2" t="str">
        <f aca="false">IF($A166="","",N(F166)*(1-N(G166))+N(H166))</f>
        <v/>
      </c>
      <c r="J166" s="2" t="str">
        <f aca="false">IF($A166="","",CEILING(I166*$B$18,500))</f>
        <v/>
      </c>
      <c r="K166" s="2"/>
      <c r="L166" s="2" t="str">
        <f aca="false">IF(OR($A166="",N(K166)=0),"",K166-K166*$B$19-N(I166))</f>
        <v/>
      </c>
      <c r="M166" s="2" t="str">
        <f aca="false">IF(OR($A166="",N(K166)=0),"",N(L166)/K166)</f>
        <v/>
      </c>
      <c r="N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 t="str">
        <f aca="false">IF($A167="","",$D$13)</f>
        <v/>
      </c>
      <c r="I167" s="2" t="str">
        <f aca="false">IF($A167="","",N(F167)*(1-N(G167))+N(H167))</f>
        <v/>
      </c>
      <c r="J167" s="2" t="str">
        <f aca="false">IF($A167="","",CEILING(I167*$B$18,500))</f>
        <v/>
      </c>
      <c r="K167" s="2"/>
      <c r="L167" s="2" t="str">
        <f aca="false">IF(OR($A167="",N(K167)=0),"",K167-K167*$B$19-N(I167))</f>
        <v/>
      </c>
      <c r="M167" s="2" t="str">
        <f aca="false">IF(OR($A167="",N(K167)=0),"",N(L167)/K167)</f>
        <v/>
      </c>
      <c r="N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 t="str">
        <f aca="false">IF($A168="","",$D$13)</f>
        <v/>
      </c>
      <c r="I168" s="2" t="str">
        <f aca="false">IF($A168="","",N(F168)*(1-N(G168))+N(H168))</f>
        <v/>
      </c>
      <c r="J168" s="2" t="str">
        <f aca="false">IF($A168="","",CEILING(I168*$B$18,500))</f>
        <v/>
      </c>
      <c r="K168" s="2"/>
      <c r="L168" s="2" t="str">
        <f aca="false">IF(OR($A168="",N(K168)=0),"",K168-K168*$B$19-N(I168))</f>
        <v/>
      </c>
      <c r="M168" s="2" t="str">
        <f aca="false">IF(OR($A168="",N(K168)=0),"",N(L168)/K168)</f>
        <v/>
      </c>
      <c r="N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 t="str">
        <f aca="false">IF($A169="","",$D$13)</f>
        <v/>
      </c>
      <c r="I169" s="2" t="str">
        <f aca="false">IF($A169="","",N(F169)*(1-N(G169))+N(H169))</f>
        <v/>
      </c>
      <c r="J169" s="2" t="str">
        <f aca="false">IF($A169="","",CEILING(I169*$B$18,500))</f>
        <v/>
      </c>
      <c r="K169" s="2"/>
      <c r="L169" s="2" t="str">
        <f aca="false">IF(OR($A169="",N(K169)=0),"",K169-K169*$B$19-N(I169))</f>
        <v/>
      </c>
      <c r="M169" s="2" t="str">
        <f aca="false">IF(OR($A169="",N(K169)=0),"",N(L169)/K169)</f>
        <v/>
      </c>
      <c r="N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 t="str">
        <f aca="false">IF($A170="","",$D$13)</f>
        <v/>
      </c>
      <c r="I170" s="2" t="str">
        <f aca="false">IF($A170="","",N(F170)*(1-N(G170))+N(H170))</f>
        <v/>
      </c>
      <c r="J170" s="2" t="str">
        <f aca="false">IF($A170="","",CEILING(I170*$B$18,500))</f>
        <v/>
      </c>
      <c r="K170" s="2"/>
      <c r="L170" s="2" t="str">
        <f aca="false">IF(OR($A170="",N(K170)=0),"",K170-K170*$B$19-N(I170))</f>
        <v/>
      </c>
      <c r="M170" s="2" t="str">
        <f aca="false">IF(OR($A170="",N(K170)=0),"",N(L170)/K170)</f>
        <v/>
      </c>
      <c r="N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 t="str">
        <f aca="false">IF($A171="","",$D$13)</f>
        <v/>
      </c>
      <c r="I171" s="2" t="str">
        <f aca="false">IF($A171="","",N(F171)*(1-N(G171))+N(H171))</f>
        <v/>
      </c>
      <c r="J171" s="2" t="str">
        <f aca="false">IF($A171="","",CEILING(I171*$B$18,500))</f>
        <v/>
      </c>
      <c r="K171" s="2"/>
      <c r="L171" s="2" t="str">
        <f aca="false">IF(OR($A171="",N(K171)=0),"",K171-K171*$B$19-N(I171))</f>
        <v/>
      </c>
      <c r="M171" s="2" t="str">
        <f aca="false">IF(OR($A171="",N(K171)=0),"",N(L171)/K171)</f>
        <v/>
      </c>
      <c r="N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 t="str">
        <f aca="false">IF($A172="","",$D$13)</f>
        <v/>
      </c>
      <c r="I172" s="2" t="str">
        <f aca="false">IF($A172="","",N(F172)*(1-N(G172))+N(H172))</f>
        <v/>
      </c>
      <c r="J172" s="2" t="str">
        <f aca="false">IF($A172="","",CEILING(I172*$B$18,500))</f>
        <v/>
      </c>
      <c r="K172" s="2"/>
      <c r="L172" s="2" t="str">
        <f aca="false">IF(OR($A172="",N(K172)=0),"",K172-K172*$B$19-N(I172))</f>
        <v/>
      </c>
      <c r="M172" s="2" t="str">
        <f aca="false">IF(OR($A172="",N(K172)=0),"",N(L172)/K172)</f>
        <v/>
      </c>
      <c r="N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 t="str">
        <f aca="false">IF($A173="","",$D$13)</f>
        <v/>
      </c>
      <c r="I173" s="2" t="str">
        <f aca="false">IF($A173="","",N(F173)*(1-N(G173))+N(H173))</f>
        <v/>
      </c>
      <c r="J173" s="2" t="str">
        <f aca="false">IF($A173="","",CEILING(I173*$B$18,500))</f>
        <v/>
      </c>
      <c r="K173" s="2"/>
      <c r="L173" s="2" t="str">
        <f aca="false">IF(OR($A173="",N(K173)=0),"",K173-K173*$B$19-N(I173))</f>
        <v/>
      </c>
      <c r="M173" s="2" t="str">
        <f aca="false">IF(OR($A173="",N(K173)=0),"",N(L173)/K173)</f>
        <v/>
      </c>
      <c r="N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 t="str">
        <f aca="false">IF($A174="","",$D$13)</f>
        <v/>
      </c>
      <c r="I174" s="2" t="str">
        <f aca="false">IF($A174="","",N(F174)*(1-N(G174))+N(H174))</f>
        <v/>
      </c>
      <c r="J174" s="2" t="str">
        <f aca="false">IF($A174="","",CEILING(I174*$B$18,500))</f>
        <v/>
      </c>
      <c r="K174" s="2"/>
      <c r="L174" s="2" t="str">
        <f aca="false">IF(OR($A174="",N(K174)=0),"",K174-K174*$B$19-N(I174))</f>
        <v/>
      </c>
      <c r="M174" s="2" t="str">
        <f aca="false">IF(OR($A174="",N(K174)=0),"",N(L174)/K174)</f>
        <v/>
      </c>
      <c r="N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 t="str">
        <f aca="false">IF($A175="","",$D$13)</f>
        <v/>
      </c>
      <c r="I175" s="2" t="str">
        <f aca="false">IF($A175="","",N(F175)*(1-N(G175))+N(H175))</f>
        <v/>
      </c>
      <c r="J175" s="2" t="str">
        <f aca="false">IF($A175="","",CEILING(I175*$B$18,500))</f>
        <v/>
      </c>
      <c r="K175" s="2"/>
      <c r="L175" s="2" t="str">
        <f aca="false">IF(OR($A175="",N(K175)=0),"",K175-K175*$B$19-N(I175))</f>
        <v/>
      </c>
      <c r="M175" s="2" t="str">
        <f aca="false">IF(OR($A175="",N(K175)=0),"",N(L175)/K175)</f>
        <v/>
      </c>
      <c r="N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 t="str">
        <f aca="false">IF($A176="","",$D$13)</f>
        <v/>
      </c>
      <c r="I176" s="2" t="str">
        <f aca="false">IF($A176="","",N(F176)*(1-N(G176))+N(H176))</f>
        <v/>
      </c>
      <c r="J176" s="2" t="str">
        <f aca="false">IF($A176="","",CEILING(I176*$B$18,500))</f>
        <v/>
      </c>
      <c r="K176" s="2"/>
      <c r="L176" s="2" t="str">
        <f aca="false">IF(OR($A176="",N(K176)=0),"",K176-K176*$B$19-N(I176))</f>
        <v/>
      </c>
      <c r="M176" s="2" t="str">
        <f aca="false">IF(OR($A176="",N(K176)=0),"",N(L176)/K176)</f>
        <v/>
      </c>
      <c r="N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 t="str">
        <f aca="false">IF($A177="","",$D$13)</f>
        <v/>
      </c>
      <c r="I177" s="2" t="str">
        <f aca="false">IF($A177="","",N(F177)*(1-N(G177))+N(H177))</f>
        <v/>
      </c>
      <c r="J177" s="2" t="str">
        <f aca="false">IF($A177="","",CEILING(I177*$B$18,500))</f>
        <v/>
      </c>
      <c r="K177" s="2"/>
      <c r="L177" s="2" t="str">
        <f aca="false">IF(OR($A177="",N(K177)=0),"",K177-K177*$B$19-N(I177))</f>
        <v/>
      </c>
      <c r="M177" s="2" t="str">
        <f aca="false">IF(OR($A177="",N(K177)=0),"",N(L177)/K177)</f>
        <v/>
      </c>
      <c r="N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 t="str">
        <f aca="false">IF($A178="","",$D$13)</f>
        <v/>
      </c>
      <c r="I178" s="2" t="str">
        <f aca="false">IF($A178="","",N(F178)*(1-N(G178))+N(H178))</f>
        <v/>
      </c>
      <c r="J178" s="2" t="str">
        <f aca="false">IF($A178="","",CEILING(I178*$B$18,500))</f>
        <v/>
      </c>
      <c r="K178" s="2"/>
      <c r="L178" s="2" t="str">
        <f aca="false">IF(OR($A178="",N(K178)=0),"",K178-K178*$B$19-N(I178))</f>
        <v/>
      </c>
      <c r="M178" s="2" t="str">
        <f aca="false">IF(OR($A178="",N(K178)=0),"",N(L178)/K178)</f>
        <v/>
      </c>
      <c r="N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 t="str">
        <f aca="false">IF($A179="","",$D$13)</f>
        <v/>
      </c>
      <c r="I179" s="2" t="str">
        <f aca="false">IF($A179="","",N(F179)*(1-N(G179))+N(H179))</f>
        <v/>
      </c>
      <c r="J179" s="2" t="str">
        <f aca="false">IF($A179="","",CEILING(I179*$B$18,500))</f>
        <v/>
      </c>
      <c r="K179" s="2"/>
      <c r="L179" s="2" t="str">
        <f aca="false">IF(OR($A179="",N(K179)=0),"",K179-K179*$B$19-N(I179))</f>
        <v/>
      </c>
      <c r="M179" s="2" t="str">
        <f aca="false">IF(OR($A179="",N(K179)=0),"",N(L179)/K179)</f>
        <v/>
      </c>
      <c r="N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 t="str">
        <f aca="false">IF($A180="","",$D$13)</f>
        <v/>
      </c>
      <c r="I180" s="2" t="str">
        <f aca="false">IF($A180="","",N(F180)*(1-N(G180))+N(H180))</f>
        <v/>
      </c>
      <c r="J180" s="2" t="str">
        <f aca="false">IF($A180="","",CEILING(I180*$B$18,500))</f>
        <v/>
      </c>
      <c r="K180" s="2"/>
      <c r="L180" s="2" t="str">
        <f aca="false">IF(OR($A180="",N(K180)=0),"",K180-K180*$B$19-N(I180))</f>
        <v/>
      </c>
      <c r="M180" s="2" t="str">
        <f aca="false">IF(OR($A180="",N(K180)=0),"",N(L180)/K180)</f>
        <v/>
      </c>
      <c r="N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 t="str">
        <f aca="false">IF($A181="","",$D$13)</f>
        <v/>
      </c>
      <c r="I181" s="2" t="str">
        <f aca="false">IF($A181="","",N(F181)*(1-N(G181))+N(H181))</f>
        <v/>
      </c>
      <c r="J181" s="2" t="str">
        <f aca="false">IF($A181="","",CEILING(I181*$B$18,500))</f>
        <v/>
      </c>
      <c r="K181" s="2"/>
      <c r="L181" s="2" t="str">
        <f aca="false">IF(OR($A181="",N(K181)=0),"",K181-K181*$B$19-N(I181))</f>
        <v/>
      </c>
      <c r="M181" s="2" t="str">
        <f aca="false">IF(OR($A181="",N(K181)=0),"",N(L181)/K181)</f>
        <v/>
      </c>
      <c r="N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 t="str">
        <f aca="false">IF($A182="","",$D$13)</f>
        <v/>
      </c>
      <c r="I182" s="2" t="str">
        <f aca="false">IF($A182="","",N(F182)*(1-N(G182))+N(H182))</f>
        <v/>
      </c>
      <c r="J182" s="2" t="str">
        <f aca="false">IF($A182="","",CEILING(I182*$B$18,500))</f>
        <v/>
      </c>
      <c r="K182" s="2"/>
      <c r="L182" s="2" t="str">
        <f aca="false">IF(OR($A182="",N(K182)=0),"",K182-K182*$B$19-N(I182))</f>
        <v/>
      </c>
      <c r="M182" s="2" t="str">
        <f aca="false">IF(OR($A182="",N(K182)=0),"",N(L182)/K182)</f>
        <v/>
      </c>
      <c r="N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 t="str">
        <f aca="false">IF($A183="","",$D$13)</f>
        <v/>
      </c>
      <c r="I183" s="2" t="str">
        <f aca="false">IF($A183="","",N(F183)*(1-N(G183))+N(H183))</f>
        <v/>
      </c>
      <c r="J183" s="2" t="str">
        <f aca="false">IF($A183="","",CEILING(I183*$B$18,500))</f>
        <v/>
      </c>
      <c r="K183" s="2"/>
      <c r="L183" s="2" t="str">
        <f aca="false">IF(OR($A183="",N(K183)=0),"",K183-K183*$B$19-N(I183))</f>
        <v/>
      </c>
      <c r="M183" s="2" t="str">
        <f aca="false">IF(OR($A183="",N(K183)=0),"",N(L183)/K183)</f>
        <v/>
      </c>
      <c r="N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 t="str">
        <f aca="false">IF($A184="","",$D$13)</f>
        <v/>
      </c>
      <c r="I184" s="2" t="str">
        <f aca="false">IF($A184="","",N(F184)*(1-N(G184))+N(H184))</f>
        <v/>
      </c>
      <c r="J184" s="2" t="str">
        <f aca="false">IF($A184="","",CEILING(I184*$B$18,500))</f>
        <v/>
      </c>
      <c r="K184" s="2"/>
      <c r="L184" s="2" t="str">
        <f aca="false">IF(OR($A184="",N(K184)=0),"",K184-K184*$B$19-N(I184))</f>
        <v/>
      </c>
      <c r="M184" s="2" t="str">
        <f aca="false">IF(OR($A184="",N(K184)=0),"",N(L184)/K184)</f>
        <v/>
      </c>
      <c r="N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 t="str">
        <f aca="false">IF($A185="","",$D$13)</f>
        <v/>
      </c>
      <c r="I185" s="2" t="str">
        <f aca="false">IF($A185="","",N(F185)*(1-N(G185))+N(H185))</f>
        <v/>
      </c>
      <c r="J185" s="2" t="str">
        <f aca="false">IF($A185="","",CEILING(I185*$B$18,500))</f>
        <v/>
      </c>
      <c r="K185" s="2"/>
      <c r="L185" s="2" t="str">
        <f aca="false">IF(OR($A185="",N(K185)=0),"",K185-K185*$B$19-N(I185))</f>
        <v/>
      </c>
      <c r="M185" s="2" t="str">
        <f aca="false">IF(OR($A185="",N(K185)=0),"",N(L185)/K185)</f>
        <v/>
      </c>
      <c r="N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 t="str">
        <f aca="false">IF($A186="","",$D$13)</f>
        <v/>
      </c>
      <c r="I186" s="2" t="str">
        <f aca="false">IF($A186="","",N(F186)*(1-N(G186))+N(H186))</f>
        <v/>
      </c>
      <c r="J186" s="2" t="str">
        <f aca="false">IF($A186="","",CEILING(I186*$B$18,500))</f>
        <v/>
      </c>
      <c r="K186" s="2"/>
      <c r="L186" s="2" t="str">
        <f aca="false">IF(OR($A186="",N(K186)=0),"",K186-K186*$B$19-N(I186))</f>
        <v/>
      </c>
      <c r="M186" s="2" t="str">
        <f aca="false">IF(OR($A186="",N(K186)=0),"",N(L186)/K186)</f>
        <v/>
      </c>
      <c r="N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 t="str">
        <f aca="false">IF($A187="","",$D$13)</f>
        <v/>
      </c>
      <c r="I187" s="2" t="str">
        <f aca="false">IF($A187="","",N(F187)*(1-N(G187))+N(H187))</f>
        <v/>
      </c>
      <c r="J187" s="2" t="str">
        <f aca="false">IF($A187="","",CEILING(I187*$B$18,500))</f>
        <v/>
      </c>
      <c r="K187" s="2"/>
      <c r="L187" s="2" t="str">
        <f aca="false">IF(OR($A187="",N(K187)=0),"",K187-K187*$B$19-N(I187))</f>
        <v/>
      </c>
      <c r="M187" s="2" t="str">
        <f aca="false">IF(OR($A187="",N(K187)=0),"",N(L187)/K187)</f>
        <v/>
      </c>
      <c r="N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 t="str">
        <f aca="false">IF($A188="","",$D$13)</f>
        <v/>
      </c>
      <c r="I188" s="2" t="str">
        <f aca="false">IF($A188="","",N(F188)*(1-N(G188))+N(H188))</f>
        <v/>
      </c>
      <c r="J188" s="2" t="str">
        <f aca="false">IF($A188="","",CEILING(I188*$B$18,500))</f>
        <v/>
      </c>
      <c r="K188" s="2"/>
      <c r="L188" s="2" t="str">
        <f aca="false">IF(OR($A188="",N(K188)=0),"",K188-K188*$B$19-N(I188))</f>
        <v/>
      </c>
      <c r="M188" s="2" t="str">
        <f aca="false">IF(OR($A188="",N(K188)=0),"",N(L188)/K188)</f>
        <v/>
      </c>
      <c r="N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 t="str">
        <f aca="false">IF($A189="","",$D$13)</f>
        <v/>
      </c>
      <c r="I189" s="2" t="str">
        <f aca="false">IF($A189="","",N(F189)*(1-N(G189))+N(H189))</f>
        <v/>
      </c>
      <c r="J189" s="2" t="str">
        <f aca="false">IF($A189="","",CEILING(I189*$B$18,500))</f>
        <v/>
      </c>
      <c r="K189" s="2"/>
      <c r="L189" s="2" t="str">
        <f aca="false">IF(OR($A189="",N(K189)=0),"",K189-K189*$B$19-N(I189))</f>
        <v/>
      </c>
      <c r="M189" s="2" t="str">
        <f aca="false">IF(OR($A189="",N(K189)=0),"",N(L189)/K189)</f>
        <v/>
      </c>
      <c r="N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 t="str">
        <f aca="false">IF($A190="","",$D$13)</f>
        <v/>
      </c>
      <c r="I190" s="2" t="str">
        <f aca="false">IF($A190="","",N(F190)*(1-N(G190))+N(H190))</f>
        <v/>
      </c>
      <c r="J190" s="2" t="str">
        <f aca="false">IF($A190="","",CEILING(I190*$B$18,500))</f>
        <v/>
      </c>
      <c r="K190" s="2"/>
      <c r="L190" s="2" t="str">
        <f aca="false">IF(OR($A190="",N(K190)=0),"",K190-K190*$B$19-N(I190))</f>
        <v/>
      </c>
      <c r="M190" s="2" t="str">
        <f aca="false">IF(OR($A190="",N(K190)=0),"",N(L190)/K190)</f>
        <v/>
      </c>
      <c r="N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 t="str">
        <f aca="false">IF($A191="","",$D$13)</f>
        <v/>
      </c>
      <c r="I191" s="2" t="str">
        <f aca="false">IF($A191="","",N(F191)*(1-N(G191))+N(H191))</f>
        <v/>
      </c>
      <c r="J191" s="2" t="str">
        <f aca="false">IF($A191="","",CEILING(I191*$B$18,500))</f>
        <v/>
      </c>
      <c r="K191" s="2"/>
      <c r="L191" s="2" t="str">
        <f aca="false">IF(OR($A191="",N(K191)=0),"",K191-K191*$B$19-N(I191))</f>
        <v/>
      </c>
      <c r="M191" s="2" t="str">
        <f aca="false">IF(OR($A191="",N(K191)=0),"",N(L191)/K191)</f>
        <v/>
      </c>
      <c r="N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 t="str">
        <f aca="false">IF($A192="","",$D$13)</f>
        <v/>
      </c>
      <c r="I192" s="2" t="str">
        <f aca="false">IF($A192="","",N(F192)*(1-N(G192))+N(H192))</f>
        <v/>
      </c>
      <c r="J192" s="2" t="str">
        <f aca="false">IF($A192="","",CEILING(I192*$B$18,500))</f>
        <v/>
      </c>
      <c r="K192" s="2"/>
      <c r="L192" s="2" t="str">
        <f aca="false">IF(OR($A192="",N(K192)=0),"",K192-K192*$B$19-N(I192))</f>
        <v/>
      </c>
      <c r="M192" s="2" t="str">
        <f aca="false">IF(OR($A192="",N(K192)=0),"",N(L192)/K192)</f>
        <v/>
      </c>
      <c r="N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 t="str">
        <f aca="false">IF($A193="","",$D$13)</f>
        <v/>
      </c>
      <c r="I193" s="2" t="str">
        <f aca="false">IF($A193="","",N(F193)*(1-N(G193))+N(H193))</f>
        <v/>
      </c>
      <c r="J193" s="2" t="str">
        <f aca="false">IF($A193="","",CEILING(I193*$B$18,500))</f>
        <v/>
      </c>
      <c r="K193" s="2"/>
      <c r="L193" s="2" t="str">
        <f aca="false">IF(OR($A193="",N(K193)=0),"",K193-K193*$B$19-N(I193))</f>
        <v/>
      </c>
      <c r="M193" s="2" t="str">
        <f aca="false">IF(OR($A193="",N(K193)=0),"",N(L193)/K193)</f>
        <v/>
      </c>
      <c r="N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 t="str">
        <f aca="false">IF($A194="","",$D$13)</f>
        <v/>
      </c>
      <c r="I194" s="2" t="str">
        <f aca="false">IF($A194="","",N(F194)*(1-N(G194))+N(H194))</f>
        <v/>
      </c>
      <c r="J194" s="2" t="str">
        <f aca="false">IF($A194="","",CEILING(I194*$B$18,500))</f>
        <v/>
      </c>
      <c r="K194" s="2"/>
      <c r="L194" s="2" t="str">
        <f aca="false">IF(OR($A194="",N(K194)=0),"",K194-K194*$B$19-N(I194))</f>
        <v/>
      </c>
      <c r="M194" s="2" t="str">
        <f aca="false">IF(OR($A194="",N(K194)=0),"",N(L194)/K194)</f>
        <v/>
      </c>
      <c r="N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 t="str">
        <f aca="false">IF($A195="","",$D$13)</f>
        <v/>
      </c>
      <c r="I195" s="2" t="str">
        <f aca="false">IF($A195="","",N(F195)*(1-N(G195))+N(H195))</f>
        <v/>
      </c>
      <c r="J195" s="2" t="str">
        <f aca="false">IF($A195="","",CEILING(I195*$B$18,500))</f>
        <v/>
      </c>
      <c r="K195" s="2"/>
      <c r="L195" s="2" t="str">
        <f aca="false">IF(OR($A195="",N(K195)=0),"",K195-K195*$B$19-N(I195))</f>
        <v/>
      </c>
      <c r="M195" s="2" t="str">
        <f aca="false">IF(OR($A195="",N(K195)=0),"",N(L195)/K195)</f>
        <v/>
      </c>
      <c r="N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 t="str">
        <f aca="false">IF($A196="","",$D$13)</f>
        <v/>
      </c>
      <c r="I196" s="2" t="str">
        <f aca="false">IF($A196="","",N(F196)*(1-N(G196))+N(H196))</f>
        <v/>
      </c>
      <c r="J196" s="2" t="str">
        <f aca="false">IF($A196="","",CEILING(I196*$B$18,500))</f>
        <v/>
      </c>
      <c r="K196" s="2"/>
      <c r="L196" s="2" t="str">
        <f aca="false">IF(OR($A196="",N(K196)=0),"",K196-K196*$B$19-N(I196))</f>
        <v/>
      </c>
      <c r="M196" s="2" t="str">
        <f aca="false">IF(OR($A196="",N(K196)=0),"",N(L196)/K196)</f>
        <v/>
      </c>
      <c r="N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 t="str">
        <f aca="false">IF($A197="","",$D$13)</f>
        <v/>
      </c>
      <c r="I197" s="2" t="str">
        <f aca="false">IF($A197="","",N(F197)*(1-N(G197))+N(H197))</f>
        <v/>
      </c>
      <c r="J197" s="2" t="str">
        <f aca="false">IF($A197="","",CEILING(I197*$B$18,500))</f>
        <v/>
      </c>
      <c r="K197" s="2"/>
      <c r="L197" s="2" t="str">
        <f aca="false">IF(OR($A197="",N(K197)=0),"",K197-K197*$B$19-N(I197))</f>
        <v/>
      </c>
      <c r="M197" s="2" t="str">
        <f aca="false">IF(OR($A197="",N(K197)=0),"",N(L197)/K197)</f>
        <v/>
      </c>
      <c r="N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 t="str">
        <f aca="false">IF($A198="","",$D$13)</f>
        <v/>
      </c>
      <c r="I198" s="2" t="str">
        <f aca="false">IF($A198="","",N(F198)*(1-N(G198))+N(H198))</f>
        <v/>
      </c>
      <c r="J198" s="2" t="str">
        <f aca="false">IF($A198="","",CEILING(I198*$B$18,500))</f>
        <v/>
      </c>
      <c r="K198" s="2"/>
      <c r="L198" s="2" t="str">
        <f aca="false">IF(OR($A198="",N(K198)=0),"",K198-K198*$B$19-N(I198))</f>
        <v/>
      </c>
      <c r="M198" s="2" t="str">
        <f aca="false">IF(OR($A198="",N(K198)=0),"",N(L198)/K198)</f>
        <v/>
      </c>
      <c r="N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 t="str">
        <f aca="false">IF($A199="","",$D$13)</f>
        <v/>
      </c>
      <c r="I199" s="2" t="str">
        <f aca="false">IF($A199="","",N(F199)*(1-N(G199))+N(H199))</f>
        <v/>
      </c>
      <c r="J199" s="2" t="str">
        <f aca="false">IF($A199="","",CEILING(I199*$B$18,500))</f>
        <v/>
      </c>
      <c r="K199" s="2"/>
      <c r="L199" s="2" t="str">
        <f aca="false">IF(OR($A199="",N(K199)=0),"",K199-K199*$B$19-N(I199))</f>
        <v/>
      </c>
      <c r="M199" s="2" t="str">
        <f aca="false">IF(OR($A199="",N(K199)=0),"",N(L199)/K199)</f>
        <v/>
      </c>
      <c r="N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 t="str">
        <f aca="false">IF($A200="","",$D$13)</f>
        <v/>
      </c>
      <c r="I200" s="2" t="str">
        <f aca="false">IF($A200="","",N(F200)*(1-N(G200))+N(H200))</f>
        <v/>
      </c>
      <c r="J200" s="2" t="str">
        <f aca="false">IF($A200="","",CEILING(I200*$B$18,500))</f>
        <v/>
      </c>
      <c r="K200" s="2"/>
      <c r="L200" s="2" t="str">
        <f aca="false">IF(OR($A200="",N(K200)=0),"",K200-K200*$B$19-N(I200))</f>
        <v/>
      </c>
      <c r="M200" s="2" t="str">
        <f aca="false">IF(OR($A200="",N(K200)=0),"",N(L200)/K200)</f>
        <v/>
      </c>
      <c r="N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 t="str">
        <f aca="false">IF($A201="","",$D$13)</f>
        <v/>
      </c>
      <c r="I201" s="2" t="str">
        <f aca="false">IF($A201="","",N(F201)*(1-N(G201))+N(H201))</f>
        <v/>
      </c>
      <c r="J201" s="2" t="str">
        <f aca="false">IF($A201="","",CEILING(I201*$B$18,500))</f>
        <v/>
      </c>
      <c r="K201" s="2"/>
      <c r="L201" s="2" t="str">
        <f aca="false">IF(OR($A201="",N(K201)=0),"",K201-K201*$B$19-N(I201))</f>
        <v/>
      </c>
      <c r="M201" s="2" t="str">
        <f aca="false">IF(OR($A201="",N(K201)=0),"",N(L201)/K201)</f>
        <v/>
      </c>
      <c r="N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 t="str">
        <f aca="false">IF($A202="","",$D$13)</f>
        <v/>
      </c>
      <c r="I202" s="2" t="str">
        <f aca="false">IF($A202="","",N(F202)*(1-N(G202))+N(H202))</f>
        <v/>
      </c>
      <c r="J202" s="2" t="str">
        <f aca="false">IF($A202="","",CEILING(I202*$B$18,500))</f>
        <v/>
      </c>
      <c r="K202" s="2"/>
      <c r="L202" s="2" t="str">
        <f aca="false">IF(OR($A202="",N(K202)=0),"",K202-K202*$B$19-N(I202))</f>
        <v/>
      </c>
      <c r="M202" s="2" t="str">
        <f aca="false">IF(OR($A202="",N(K202)=0),"",N(L202)/K202)</f>
        <v/>
      </c>
      <c r="N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 t="str">
        <f aca="false">IF($A203="","",$D$13)</f>
        <v/>
      </c>
      <c r="I203" s="2" t="str">
        <f aca="false">IF($A203="","",N(F203)*(1-N(G203))+N(H203))</f>
        <v/>
      </c>
      <c r="J203" s="2" t="str">
        <f aca="false">IF($A203="","",CEILING(I203*$B$18,500))</f>
        <v/>
      </c>
      <c r="K203" s="2"/>
      <c r="L203" s="2" t="str">
        <f aca="false">IF(OR($A203="",N(K203)=0),"",K203-K203*$B$19-N(I203))</f>
        <v/>
      </c>
      <c r="M203" s="2" t="str">
        <f aca="false">IF(OR($A203="",N(K203)=0),"",N(L203)/K203)</f>
        <v/>
      </c>
      <c r="N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 t="str">
        <f aca="false">IF($A204="","",$D$13)</f>
        <v/>
      </c>
      <c r="I204" s="2" t="str">
        <f aca="false">IF($A204="","",N(F204)*(1-N(G204))+N(H204))</f>
        <v/>
      </c>
      <c r="J204" s="2" t="str">
        <f aca="false">IF($A204="","",CEILING(I204*$B$18,500))</f>
        <v/>
      </c>
      <c r="K204" s="2"/>
      <c r="L204" s="2" t="str">
        <f aca="false">IF(OR($A204="",N(K204)=0),"",K204-K204*$B$19-N(I204))</f>
        <v/>
      </c>
      <c r="M204" s="2" t="str">
        <f aca="false">IF(OR($A204="",N(K204)=0),"",N(L204)/K204)</f>
        <v/>
      </c>
      <c r="N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 t="str">
        <f aca="false">IF($A205="","",$D$13)</f>
        <v/>
      </c>
      <c r="I205" s="2" t="str">
        <f aca="false">IF($A205="","",N(F205)*(1-N(G205))+N(H205))</f>
        <v/>
      </c>
      <c r="J205" s="2" t="str">
        <f aca="false">IF($A205="","",CEILING(I205*$B$18,500))</f>
        <v/>
      </c>
      <c r="K205" s="2"/>
      <c r="L205" s="2" t="str">
        <f aca="false">IF(OR($A205="",N(K205)=0),"",K205-K205*$B$19-N(I205))</f>
        <v/>
      </c>
      <c r="M205" s="2" t="str">
        <f aca="false">IF(OR($A205="",N(K205)=0),"",N(L205)/K205)</f>
        <v/>
      </c>
      <c r="N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 t="str">
        <f aca="false">IF($A206="","",$D$13)</f>
        <v/>
      </c>
      <c r="I206" s="2" t="str">
        <f aca="false">IF($A206="","",N(F206)*(1-N(G206))+N(H206))</f>
        <v/>
      </c>
      <c r="J206" s="2" t="str">
        <f aca="false">IF($A206="","",CEILING(I206*$B$18,500))</f>
        <v/>
      </c>
      <c r="K206" s="2"/>
      <c r="L206" s="2" t="str">
        <f aca="false">IF(OR($A206="",N(K206)=0),"",K206-K206*$B$19-N(I206))</f>
        <v/>
      </c>
      <c r="M206" s="2" t="str">
        <f aca="false">IF(OR($A206="",N(K206)=0),"",N(L206)/K206)</f>
        <v/>
      </c>
      <c r="N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 t="str">
        <f aca="false">IF($A207="","",$D$13)</f>
        <v/>
      </c>
      <c r="I207" s="2" t="str">
        <f aca="false">IF($A207="","",N(F207)*(1-N(G207))+N(H207))</f>
        <v/>
      </c>
      <c r="J207" s="2" t="str">
        <f aca="false">IF($A207="","",CEILING(I207*$B$18,500))</f>
        <v/>
      </c>
      <c r="K207" s="2"/>
      <c r="L207" s="2" t="str">
        <f aca="false">IF(OR($A207="",N(K207)=0),"",K207-K207*$B$19-N(I207))</f>
        <v/>
      </c>
      <c r="M207" s="2" t="str">
        <f aca="false">IF(OR($A207="",N(K207)=0),"",N(L207)/K207)</f>
        <v/>
      </c>
      <c r="N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 t="str">
        <f aca="false">IF($A208="","",$D$13)</f>
        <v/>
      </c>
      <c r="I208" s="2" t="str">
        <f aca="false">IF($A208="","",N(F208)*(1-N(G208))+N(H208))</f>
        <v/>
      </c>
      <c r="J208" s="2" t="str">
        <f aca="false">IF($A208="","",CEILING(I208*$B$18,500))</f>
        <v/>
      </c>
      <c r="K208" s="2"/>
      <c r="L208" s="2" t="str">
        <f aca="false">IF(OR($A208="",N(K208)=0),"",K208-K208*$B$19-N(I208))</f>
        <v/>
      </c>
      <c r="M208" s="2" t="str">
        <f aca="false">IF(OR($A208="",N(K208)=0),"",N(L208)/K208)</f>
        <v/>
      </c>
      <c r="N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 t="str">
        <f aca="false">IF($A209="","",$D$13)</f>
        <v/>
      </c>
      <c r="I209" s="2" t="str">
        <f aca="false">IF($A209="","",N(F209)*(1-N(G209))+N(H209))</f>
        <v/>
      </c>
      <c r="J209" s="2" t="str">
        <f aca="false">IF($A209="","",CEILING(I209*$B$18,500))</f>
        <v/>
      </c>
      <c r="K209" s="2"/>
      <c r="L209" s="2" t="str">
        <f aca="false">IF(OR($A209="",N(K209)=0),"",K209-K209*$B$19-N(I209))</f>
        <v/>
      </c>
      <c r="M209" s="2" t="str">
        <f aca="false">IF(OR($A209="",N(K209)=0),"",N(L209)/K209)</f>
        <v/>
      </c>
      <c r="N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 t="str">
        <f aca="false">IF($A210="","",$D$13)</f>
        <v/>
      </c>
      <c r="I210" s="2" t="str">
        <f aca="false">IF($A210="","",N(F210)*(1-N(G210))+N(H210))</f>
        <v/>
      </c>
      <c r="J210" s="2" t="str">
        <f aca="false">IF($A210="","",CEILING(I210*$B$18,500))</f>
        <v/>
      </c>
      <c r="K210" s="2"/>
      <c r="L210" s="2" t="str">
        <f aca="false">IF(OR($A210="",N(K210)=0),"",K210-K210*$B$19-N(I210))</f>
        <v/>
      </c>
      <c r="M210" s="2" t="str">
        <f aca="false">IF(OR($A210="",N(K210)=0),"",N(L210)/K210)</f>
        <v/>
      </c>
      <c r="N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 t="str">
        <f aca="false">IF($A211="","",$D$13)</f>
        <v/>
      </c>
      <c r="I211" s="2" t="str">
        <f aca="false">IF($A211="","",N(F211)*(1-N(G211))+N(H211))</f>
        <v/>
      </c>
      <c r="J211" s="2" t="str">
        <f aca="false">IF($A211="","",CEILING(I211*$B$18,500))</f>
        <v/>
      </c>
      <c r="K211" s="2"/>
      <c r="L211" s="2" t="str">
        <f aca="false">IF(OR($A211="",N(K211)=0),"",K211-K211*$B$19-N(I211))</f>
        <v/>
      </c>
      <c r="M211" s="2" t="str">
        <f aca="false">IF(OR($A211="",N(K211)=0),"",N(L211)/K211)</f>
        <v/>
      </c>
      <c r="N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 t="str">
        <f aca="false">IF($A212="","",$D$13)</f>
        <v/>
      </c>
      <c r="I212" s="2" t="str">
        <f aca="false">IF($A212="","",N(F212)*(1-N(G212))+N(H212))</f>
        <v/>
      </c>
      <c r="J212" s="2" t="str">
        <f aca="false">IF($A212="","",CEILING(I212*$B$18,500))</f>
        <v/>
      </c>
      <c r="K212" s="2"/>
      <c r="L212" s="2" t="str">
        <f aca="false">IF(OR($A212="",N(K212)=0),"",K212-K212*$B$19-N(I212))</f>
        <v/>
      </c>
      <c r="M212" s="2" t="str">
        <f aca="false">IF(OR($A212="",N(K212)=0),"",N(L212)/K212)</f>
        <v/>
      </c>
      <c r="N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 t="str">
        <f aca="false">IF($A213="","",$D$13)</f>
        <v/>
      </c>
      <c r="I213" s="2" t="str">
        <f aca="false">IF($A213="","",N(F213)*(1-N(G213))+N(H213))</f>
        <v/>
      </c>
      <c r="J213" s="2" t="str">
        <f aca="false">IF($A213="","",CEILING(I213*$B$18,500))</f>
        <v/>
      </c>
      <c r="K213" s="2"/>
      <c r="L213" s="2" t="str">
        <f aca="false">IF(OR($A213="",N(K213)=0),"",K213-K213*$B$19-N(I213))</f>
        <v/>
      </c>
      <c r="M213" s="2" t="str">
        <f aca="false">IF(OR($A213="",N(K213)=0),"",N(L213)/K213)</f>
        <v/>
      </c>
      <c r="N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 t="str">
        <f aca="false">IF($A214="","",$D$13)</f>
        <v/>
      </c>
      <c r="I214" s="2" t="str">
        <f aca="false">IF($A214="","",N(F214)*(1-N(G214))+N(H214))</f>
        <v/>
      </c>
      <c r="J214" s="2" t="str">
        <f aca="false">IF($A214="","",CEILING(I214*$B$18,500))</f>
        <v/>
      </c>
      <c r="K214" s="2"/>
      <c r="L214" s="2" t="str">
        <f aca="false">IF(OR($A214="",N(K214)=0),"",K214-K214*$B$19-N(I214))</f>
        <v/>
      </c>
      <c r="M214" s="2" t="str">
        <f aca="false">IF(OR($A214="",N(K214)=0),"",N(L214)/K214)</f>
        <v/>
      </c>
      <c r="N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 t="str">
        <f aca="false">IF($A215="","",$D$13)</f>
        <v/>
      </c>
      <c r="I215" s="2" t="str">
        <f aca="false">IF($A215="","",N(F215)*(1-N(G215))+N(H215))</f>
        <v/>
      </c>
      <c r="J215" s="2" t="str">
        <f aca="false">IF($A215="","",CEILING(I215*$B$18,500))</f>
        <v/>
      </c>
      <c r="K215" s="2"/>
      <c r="L215" s="2" t="str">
        <f aca="false">IF(OR($A215="",N(K215)=0),"",K215-K215*$B$19-N(I215))</f>
        <v/>
      </c>
      <c r="M215" s="2" t="str">
        <f aca="false">IF(OR($A215="",N(K215)=0),"",N(L215)/K215)</f>
        <v/>
      </c>
      <c r="N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 t="str">
        <f aca="false">IF($A216="","",$D$13)</f>
        <v/>
      </c>
      <c r="I216" s="2" t="str">
        <f aca="false">IF($A216="","",N(F216)*(1-N(G216))+N(H216))</f>
        <v/>
      </c>
      <c r="J216" s="2" t="str">
        <f aca="false">IF($A216="","",CEILING(I216*$B$18,500))</f>
        <v/>
      </c>
      <c r="K216" s="2"/>
      <c r="L216" s="2" t="str">
        <f aca="false">IF(OR($A216="",N(K216)=0),"",K216-K216*$B$19-N(I216))</f>
        <v/>
      </c>
      <c r="M216" s="2" t="str">
        <f aca="false">IF(OR($A216="",N(K216)=0),"",N(L216)/K216)</f>
        <v/>
      </c>
      <c r="N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 t="str">
        <f aca="false">IF($A217="","",$D$13)</f>
        <v/>
      </c>
      <c r="I217" s="2" t="str">
        <f aca="false">IF($A217="","",N(F217)*(1-N(G217))+N(H217))</f>
        <v/>
      </c>
      <c r="J217" s="2" t="str">
        <f aca="false">IF($A217="","",CEILING(I217*$B$18,500))</f>
        <v/>
      </c>
      <c r="K217" s="2"/>
      <c r="L217" s="2" t="str">
        <f aca="false">IF(OR($A217="",N(K217)=0),"",K217-K217*$B$19-N(I217))</f>
        <v/>
      </c>
      <c r="M217" s="2" t="str">
        <f aca="false">IF(OR($A217="",N(K217)=0),"",N(L217)/K217)</f>
        <v/>
      </c>
      <c r="N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 t="str">
        <f aca="false">IF($A218="","",$D$13)</f>
        <v/>
      </c>
      <c r="I218" s="2" t="str">
        <f aca="false">IF($A218="","",N(F218)*(1-N(G218))+N(H218))</f>
        <v/>
      </c>
      <c r="J218" s="2" t="str">
        <f aca="false">IF($A218="","",CEILING(I218*$B$18,500))</f>
        <v/>
      </c>
      <c r="K218" s="2"/>
      <c r="L218" s="2" t="str">
        <f aca="false">IF(OR($A218="",N(K218)=0),"",K218-K218*$B$19-N(I218))</f>
        <v/>
      </c>
      <c r="M218" s="2" t="str">
        <f aca="false">IF(OR($A218="",N(K218)=0),"",N(L218)/K218)</f>
        <v/>
      </c>
      <c r="N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 t="str">
        <f aca="false">IF($A219="","",$D$13)</f>
        <v/>
      </c>
      <c r="I219" s="2" t="str">
        <f aca="false">IF($A219="","",N(F219)*(1-N(G219))+N(H219))</f>
        <v/>
      </c>
      <c r="J219" s="2" t="str">
        <f aca="false">IF($A219="","",CEILING(I219*$B$18,500))</f>
        <v/>
      </c>
      <c r="K219" s="2"/>
      <c r="L219" s="2" t="str">
        <f aca="false">IF(OR($A219="",N(K219)=0),"",K219-K219*$B$19-N(I219))</f>
        <v/>
      </c>
      <c r="M219" s="2" t="str">
        <f aca="false">IF(OR($A219="",N(K219)=0),"",N(L219)/K219)</f>
        <v/>
      </c>
      <c r="N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 t="str">
        <f aca="false">IF($A220="","",$D$13)</f>
        <v/>
      </c>
      <c r="I220" s="2" t="str">
        <f aca="false">IF($A220="","",N(F220)*(1-N(G220))+N(H220))</f>
        <v/>
      </c>
      <c r="J220" s="2" t="str">
        <f aca="false">IF($A220="","",CEILING(I220*$B$18,500))</f>
        <v/>
      </c>
      <c r="K220" s="2"/>
      <c r="L220" s="2" t="str">
        <f aca="false">IF(OR($A220="",N(K220)=0),"",K220-K220*$B$19-N(I220))</f>
        <v/>
      </c>
      <c r="M220" s="2" t="str">
        <f aca="false">IF(OR($A220="",N(K220)=0),"",N(L220)/K220)</f>
        <v/>
      </c>
      <c r="N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 t="str">
        <f aca="false">IF($A221="","",$D$13)</f>
        <v/>
      </c>
      <c r="I221" s="2" t="str">
        <f aca="false">IF($A221="","",N(F221)*(1-N(G221))+N(H221))</f>
        <v/>
      </c>
      <c r="J221" s="2" t="str">
        <f aca="false">IF($A221="","",CEILING(I221*$B$18,500))</f>
        <v/>
      </c>
      <c r="K221" s="2"/>
      <c r="L221" s="2" t="str">
        <f aca="false">IF(OR($A221="",N(K221)=0),"",K221-K221*$B$19-N(I221))</f>
        <v/>
      </c>
      <c r="M221" s="2" t="str">
        <f aca="false">IF(OR($A221="",N(K221)=0),"",N(L221)/K221)</f>
        <v/>
      </c>
      <c r="N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 t="str">
        <f aca="false">IF($A222="","",$D$13)</f>
        <v/>
      </c>
      <c r="I222" s="2" t="str">
        <f aca="false">IF($A222="","",N(F222)*(1-N(G222))+N(H222))</f>
        <v/>
      </c>
      <c r="J222" s="2" t="str">
        <f aca="false">IF($A222="","",CEILING(I222*$B$18,500))</f>
        <v/>
      </c>
      <c r="K222" s="2"/>
      <c r="L222" s="2" t="str">
        <f aca="false">IF(OR($A222="",N(K222)=0),"",K222-K222*$B$19-N(I222))</f>
        <v/>
      </c>
      <c r="M222" s="2" t="str">
        <f aca="false">IF(OR($A222="",N(K222)=0),"",N(L222)/K222)</f>
        <v/>
      </c>
      <c r="N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 t="str">
        <f aca="false">IF($A223="","",$D$13)</f>
        <v/>
      </c>
      <c r="I223" s="2" t="str">
        <f aca="false">IF($A223="","",N(F223)*(1-N(G223))+N(H223))</f>
        <v/>
      </c>
      <c r="J223" s="2" t="str">
        <f aca="false">IF($A223="","",CEILING(I223*$B$18,500))</f>
        <v/>
      </c>
      <c r="K223" s="2"/>
      <c r="L223" s="2" t="str">
        <f aca="false">IF(OR($A223="",N(K223)=0),"",K223-K223*$B$19-N(I223))</f>
        <v/>
      </c>
      <c r="M223" s="2" t="str">
        <f aca="false">IF(OR($A223="",N(K223)=0),"",N(L223)/K223)</f>
        <v/>
      </c>
      <c r="N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 t="str">
        <f aca="false">IF($A224="","",$D$13)</f>
        <v/>
      </c>
      <c r="I224" s="2" t="str">
        <f aca="false">IF($A224="","",N(F224)*(1-N(G224))+N(H224))</f>
        <v/>
      </c>
      <c r="J224" s="2" t="str">
        <f aca="false">IF($A224="","",CEILING(I224*$B$18,500))</f>
        <v/>
      </c>
      <c r="K224" s="2"/>
      <c r="L224" s="2" t="str">
        <f aca="false">IF(OR($A224="",N(K224)=0),"",K224-K224*$B$19-N(I224))</f>
        <v/>
      </c>
      <c r="M224" s="2" t="str">
        <f aca="false">IF(OR($A224="",N(K224)=0),"",N(L224)/K224)</f>
        <v/>
      </c>
      <c r="N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 t="str">
        <f aca="false">IF($A225="","",$D$13)</f>
        <v/>
      </c>
      <c r="I225" s="2" t="str">
        <f aca="false">IF($A225="","",N(F225)*(1-N(G225))+N(H225))</f>
        <v/>
      </c>
      <c r="J225" s="2" t="str">
        <f aca="false">IF($A225="","",CEILING(I225*$B$18,500))</f>
        <v/>
      </c>
      <c r="K225" s="2"/>
      <c r="L225" s="2" t="str">
        <f aca="false">IF(OR($A225="",N(K225)=0),"",K225-K225*$B$19-N(I225))</f>
        <v/>
      </c>
      <c r="M225" s="2" t="str">
        <f aca="false">IF(OR($A225="",N(K225)=0),"",N(L225)/K225)</f>
        <v/>
      </c>
      <c r="N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 t="str">
        <f aca="false">IF($A226="","",$D$13)</f>
        <v/>
      </c>
      <c r="I226" s="2" t="str">
        <f aca="false">IF($A226="","",N(F226)*(1-N(G226))+N(H226))</f>
        <v/>
      </c>
      <c r="J226" s="2" t="str">
        <f aca="false">IF($A226="","",CEILING(I226*$B$18,500))</f>
        <v/>
      </c>
      <c r="K226" s="2"/>
      <c r="L226" s="2" t="str">
        <f aca="false">IF(OR($A226="",N(K226)=0),"",K226-K226*$B$19-N(I226))</f>
        <v/>
      </c>
      <c r="M226" s="2" t="str">
        <f aca="false">IF(OR($A226="",N(K226)=0),"",N(L226)/K226)</f>
        <v/>
      </c>
      <c r="N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 t="str">
        <f aca="false">IF($A227="","",$D$13)</f>
        <v/>
      </c>
      <c r="I227" s="2" t="str">
        <f aca="false">IF($A227="","",N(F227)*(1-N(G227))+N(H227))</f>
        <v/>
      </c>
      <c r="J227" s="2" t="str">
        <f aca="false">IF($A227="","",CEILING(I227*$B$18,500))</f>
        <v/>
      </c>
      <c r="K227" s="2"/>
      <c r="L227" s="2" t="str">
        <f aca="false">IF(OR($A227="",N(K227)=0),"",K227-K227*$B$19-N(I227))</f>
        <v/>
      </c>
      <c r="M227" s="2" t="str">
        <f aca="false">IF(OR($A227="",N(K227)=0),"",N(L227)/K227)</f>
        <v/>
      </c>
      <c r="N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 t="str">
        <f aca="false">IF($A228="","",$D$13)</f>
        <v/>
      </c>
      <c r="I228" s="2" t="str">
        <f aca="false">IF($A228="","",N(F228)*(1-N(G228))+N(H228))</f>
        <v/>
      </c>
      <c r="J228" s="2" t="str">
        <f aca="false">IF($A228="","",CEILING(I228*$B$18,500))</f>
        <v/>
      </c>
      <c r="K228" s="2"/>
      <c r="L228" s="2" t="str">
        <f aca="false">IF(OR($A228="",N(K228)=0),"",K228-K228*$B$19-N(I228))</f>
        <v/>
      </c>
      <c r="M228" s="2" t="str">
        <f aca="false">IF(OR($A228="",N(K228)=0),"",N(L228)/K228)</f>
        <v/>
      </c>
      <c r="N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 t="str">
        <f aca="false">IF($A229="","",$D$13)</f>
        <v/>
      </c>
      <c r="I229" s="2" t="str">
        <f aca="false">IF($A229="","",N(F229)*(1-N(G229))+N(H229))</f>
        <v/>
      </c>
      <c r="J229" s="2" t="str">
        <f aca="false">IF($A229="","",CEILING(I229*$B$18,500))</f>
        <v/>
      </c>
      <c r="K229" s="2"/>
      <c r="L229" s="2" t="str">
        <f aca="false">IF(OR($A229="",N(K229)=0),"",K229-K229*$B$19-N(I229))</f>
        <v/>
      </c>
      <c r="M229" s="2" t="str">
        <f aca="false">IF(OR($A229="",N(K229)=0),"",N(L229)/K229)</f>
        <v/>
      </c>
      <c r="N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 t="str">
        <f aca="false">IF($A230="","",$D$13)</f>
        <v/>
      </c>
      <c r="I230" s="2" t="str">
        <f aca="false">IF($A230="","",N(F230)*(1-N(G230))+N(H230))</f>
        <v/>
      </c>
      <c r="J230" s="2" t="str">
        <f aca="false">IF($A230="","",CEILING(I230*$B$18,500))</f>
        <v/>
      </c>
      <c r="K230" s="2"/>
      <c r="L230" s="2" t="str">
        <f aca="false">IF(OR($A230="",N(K230)=0),"",K230-K230*$B$19-N(I230))</f>
        <v/>
      </c>
      <c r="M230" s="2" t="str">
        <f aca="false">IF(OR($A230="",N(K230)=0),"",N(L230)/K230)</f>
        <v/>
      </c>
      <c r="N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 t="str">
        <f aca="false">IF($A231="","",$D$13)</f>
        <v/>
      </c>
      <c r="I231" s="2" t="str">
        <f aca="false">IF($A231="","",N(F231)*(1-N(G231))+N(H231))</f>
        <v/>
      </c>
      <c r="J231" s="2" t="str">
        <f aca="false">IF($A231="","",CEILING(I231*$B$18,500))</f>
        <v/>
      </c>
      <c r="K231" s="2"/>
      <c r="L231" s="2" t="str">
        <f aca="false">IF(OR($A231="",N(K231)=0),"",K231-K231*$B$19-N(I231))</f>
        <v/>
      </c>
      <c r="M231" s="2" t="str">
        <f aca="false">IF(OR($A231="",N(K231)=0),"",N(L231)/K231)</f>
        <v/>
      </c>
      <c r="N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 t="str">
        <f aca="false">IF($A232="","",$D$13)</f>
        <v/>
      </c>
      <c r="I232" s="2" t="str">
        <f aca="false">IF($A232="","",N(F232)*(1-N(G232))+N(H232))</f>
        <v/>
      </c>
      <c r="J232" s="2" t="str">
        <f aca="false">IF($A232="","",CEILING(I232*$B$18,500))</f>
        <v/>
      </c>
      <c r="K232" s="2"/>
      <c r="L232" s="2" t="str">
        <f aca="false">IF(OR($A232="",N(K232)=0),"",K232-K232*$B$19-N(I232))</f>
        <v/>
      </c>
      <c r="M232" s="2" t="str">
        <f aca="false">IF(OR($A232="",N(K232)=0),"",N(L232)/K232)</f>
        <v/>
      </c>
      <c r="N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 t="str">
        <f aca="false">IF($A233="","",$D$13)</f>
        <v/>
      </c>
      <c r="I233" s="2" t="str">
        <f aca="false">IF($A233="","",N(F233)*(1-N(G233))+N(H233))</f>
        <v/>
      </c>
      <c r="J233" s="2" t="str">
        <f aca="false">IF($A233="","",CEILING(I233*$B$18,500))</f>
        <v/>
      </c>
      <c r="K233" s="2"/>
      <c r="L233" s="2" t="str">
        <f aca="false">IF(OR($A233="",N(K233)=0),"",K233-K233*$B$19-N(I233))</f>
        <v/>
      </c>
      <c r="M233" s="2" t="str">
        <f aca="false">IF(OR($A233="",N(K233)=0),"",N(L233)/K233)</f>
        <v/>
      </c>
      <c r="N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 t="str">
        <f aca="false">IF($A234="","",$D$13)</f>
        <v/>
      </c>
      <c r="I234" s="2" t="str">
        <f aca="false">IF($A234="","",N(F234)*(1-N(G234))+N(H234))</f>
        <v/>
      </c>
      <c r="J234" s="2" t="str">
        <f aca="false">IF($A234="","",CEILING(I234*$B$18,500))</f>
        <v/>
      </c>
      <c r="K234" s="2"/>
      <c r="L234" s="2" t="str">
        <f aca="false">IF(OR($A234="",N(K234)=0),"",K234-K234*$B$19-N(I234))</f>
        <v/>
      </c>
      <c r="M234" s="2" t="str">
        <f aca="false">IF(OR($A234="",N(K234)=0),"",N(L234)/K234)</f>
        <v/>
      </c>
      <c r="N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 t="str">
        <f aca="false">IF($A235="","",$D$13)</f>
        <v/>
      </c>
      <c r="I235" s="2" t="str">
        <f aca="false">IF($A235="","",N(F235)*(1-N(G235))+N(H235))</f>
        <v/>
      </c>
      <c r="J235" s="2" t="str">
        <f aca="false">IF($A235="","",CEILING(I235*$B$18,500))</f>
        <v/>
      </c>
      <c r="K235" s="2"/>
      <c r="L235" s="2" t="str">
        <f aca="false">IF(OR($A235="",N(K235)=0),"",K235-K235*$B$19-N(I235))</f>
        <v/>
      </c>
      <c r="M235" s="2" t="str">
        <f aca="false">IF(OR($A235="",N(K235)=0),"",N(L235)/K235)</f>
        <v/>
      </c>
      <c r="N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 t="str">
        <f aca="false">IF($A236="","",$D$13)</f>
        <v/>
      </c>
      <c r="I236" s="2" t="str">
        <f aca="false">IF($A236="","",N(F236)*(1-N(G236))+N(H236))</f>
        <v/>
      </c>
      <c r="J236" s="2" t="str">
        <f aca="false">IF($A236="","",CEILING(I236*$B$18,500))</f>
        <v/>
      </c>
      <c r="K236" s="2"/>
      <c r="L236" s="2" t="str">
        <f aca="false">IF(OR($A236="",N(K236)=0),"",K236-K236*$B$19-N(I236))</f>
        <v/>
      </c>
      <c r="M236" s="2" t="str">
        <f aca="false">IF(OR($A236="",N(K236)=0),"",N(L236)/K236)</f>
        <v/>
      </c>
      <c r="N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 t="str">
        <f aca="false">IF($A237="","",$D$13)</f>
        <v/>
      </c>
      <c r="I237" s="2" t="str">
        <f aca="false">IF($A237="","",N(F237)*(1-N(G237))+N(H237))</f>
        <v/>
      </c>
      <c r="J237" s="2" t="str">
        <f aca="false">IF($A237="","",CEILING(I237*$B$18,500))</f>
        <v/>
      </c>
      <c r="K237" s="2"/>
      <c r="L237" s="2" t="str">
        <f aca="false">IF(OR($A237="",N(K237)=0),"",K237-K237*$B$19-N(I237))</f>
        <v/>
      </c>
      <c r="M237" s="2" t="str">
        <f aca="false">IF(OR($A237="",N(K237)=0),"",N(L237)/K237)</f>
        <v/>
      </c>
      <c r="N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 t="str">
        <f aca="false">IF($A238="","",$D$13)</f>
        <v/>
      </c>
      <c r="I238" s="2" t="str">
        <f aca="false">IF($A238="","",N(F238)*(1-N(G238))+N(H238))</f>
        <v/>
      </c>
      <c r="J238" s="2" t="str">
        <f aca="false">IF($A238="","",CEILING(I238*$B$18,500))</f>
        <v/>
      </c>
      <c r="K238" s="2"/>
      <c r="L238" s="2" t="str">
        <f aca="false">IF(OR($A238="",N(K238)=0),"",K238-K238*$B$19-N(I238))</f>
        <v/>
      </c>
      <c r="M238" s="2" t="str">
        <f aca="false">IF(OR($A238="",N(K238)=0),"",N(L238)/K238)</f>
        <v/>
      </c>
      <c r="N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 t="str">
        <f aca="false">IF($A239="","",$D$13)</f>
        <v/>
      </c>
      <c r="I239" s="2" t="str">
        <f aca="false">IF($A239="","",N(F239)*(1-N(G239))+N(H239))</f>
        <v/>
      </c>
      <c r="J239" s="2" t="str">
        <f aca="false">IF($A239="","",CEILING(I239*$B$18,500))</f>
        <v/>
      </c>
      <c r="K239" s="2"/>
      <c r="L239" s="2" t="str">
        <f aca="false">IF(OR($A239="",N(K239)=0),"",K239-K239*$B$19-N(I239))</f>
        <v/>
      </c>
      <c r="M239" s="2" t="str">
        <f aca="false">IF(OR($A239="",N(K239)=0),"",N(L239)/K239)</f>
        <v/>
      </c>
      <c r="N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 t="str">
        <f aca="false">IF($A240="","",$D$13)</f>
        <v/>
      </c>
      <c r="I240" s="2" t="str">
        <f aca="false">IF($A240="","",N(F240)*(1-N(G240))+N(H240))</f>
        <v/>
      </c>
      <c r="J240" s="2" t="str">
        <f aca="false">IF($A240="","",CEILING(I240*$B$18,500))</f>
        <v/>
      </c>
      <c r="K240" s="2"/>
      <c r="L240" s="2" t="str">
        <f aca="false">IF(OR($A240="",N(K240)=0),"",K240-K240*$B$19-N(I240))</f>
        <v/>
      </c>
      <c r="M240" s="2" t="str">
        <f aca="false">IF(OR($A240="",N(K240)=0),"",N(L240)/K240)</f>
        <v/>
      </c>
      <c r="N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 t="str">
        <f aca="false">IF($A241="","",$D$13)</f>
        <v/>
      </c>
      <c r="I241" s="2" t="str">
        <f aca="false">IF($A241="","",N(F241)*(1-N(G241))+N(H241))</f>
        <v/>
      </c>
      <c r="J241" s="2" t="str">
        <f aca="false">IF($A241="","",CEILING(I241*$B$18,500))</f>
        <v/>
      </c>
      <c r="K241" s="2"/>
      <c r="L241" s="2" t="str">
        <f aca="false">IF(OR($A241="",N(K241)=0),"",K241-K241*$B$19-N(I241))</f>
        <v/>
      </c>
      <c r="M241" s="2" t="str">
        <f aca="false">IF(OR($A241="",N(K241)=0),"",N(L241)/K241)</f>
        <v/>
      </c>
      <c r="N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 t="str">
        <f aca="false">IF($A242="","",$D$13)</f>
        <v/>
      </c>
      <c r="I242" s="2" t="str">
        <f aca="false">IF($A242="","",N(F242)*(1-N(G242))+N(H242))</f>
        <v/>
      </c>
      <c r="J242" s="2" t="str">
        <f aca="false">IF($A242="","",CEILING(I242*$B$18,500))</f>
        <v/>
      </c>
      <c r="K242" s="2"/>
      <c r="L242" s="2" t="str">
        <f aca="false">IF(OR($A242="",N(K242)=0),"",K242-K242*$B$19-N(I242))</f>
        <v/>
      </c>
      <c r="M242" s="2" t="str">
        <f aca="false">IF(OR($A242="",N(K242)=0),"",N(L242)/K242)</f>
        <v/>
      </c>
      <c r="N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 t="str">
        <f aca="false">IF($A243="","",$D$13)</f>
        <v/>
      </c>
      <c r="I243" s="2" t="str">
        <f aca="false">IF($A243="","",N(F243)*(1-N(G243))+N(H243))</f>
        <v/>
      </c>
      <c r="J243" s="2" t="str">
        <f aca="false">IF($A243="","",CEILING(I243*$B$18,500))</f>
        <v/>
      </c>
      <c r="K243" s="2"/>
      <c r="L243" s="2" t="str">
        <f aca="false">IF(OR($A243="",N(K243)=0),"",K243-K243*$B$19-N(I243))</f>
        <v/>
      </c>
      <c r="M243" s="2" t="str">
        <f aca="false">IF(OR($A243="",N(K243)=0),"",N(L243)/K243)</f>
        <v/>
      </c>
      <c r="N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 t="str">
        <f aca="false">IF($A244="","",$D$13)</f>
        <v/>
      </c>
      <c r="I244" s="2" t="str">
        <f aca="false">IF($A244="","",N(F244)*(1-N(G244))+N(H244))</f>
        <v/>
      </c>
      <c r="J244" s="2" t="str">
        <f aca="false">IF($A244="","",CEILING(I244*$B$18,500))</f>
        <v/>
      </c>
      <c r="K244" s="2"/>
      <c r="L244" s="2" t="str">
        <f aca="false">IF(OR($A244="",N(K244)=0),"",K244-K244*$B$19-N(I244))</f>
        <v/>
      </c>
      <c r="M244" s="2" t="str">
        <f aca="false">IF(OR($A244="",N(K244)=0),"",N(L244)/K244)</f>
        <v/>
      </c>
      <c r="N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 t="str">
        <f aca="false">IF($A245="","",$D$13)</f>
        <v/>
      </c>
      <c r="I245" s="2" t="str">
        <f aca="false">IF($A245="","",N(F245)*(1-N(G245))+N(H245))</f>
        <v/>
      </c>
      <c r="J245" s="2" t="str">
        <f aca="false">IF($A245="","",CEILING(I245*$B$18,500))</f>
        <v/>
      </c>
      <c r="K245" s="2"/>
      <c r="L245" s="2" t="str">
        <f aca="false">IF(OR($A245="",N(K245)=0),"",K245-K245*$B$19-N(I245))</f>
        <v/>
      </c>
      <c r="M245" s="2" t="str">
        <f aca="false">IF(OR($A245="",N(K245)=0),"",N(L245)/K245)</f>
        <v/>
      </c>
      <c r="N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 t="str">
        <f aca="false">IF($A246="","",$D$13)</f>
        <v/>
      </c>
      <c r="I246" s="2" t="str">
        <f aca="false">IF($A246="","",N(F246)*(1-N(G246))+N(H246))</f>
        <v/>
      </c>
      <c r="J246" s="2" t="str">
        <f aca="false">IF($A246="","",CEILING(I246*$B$18,500))</f>
        <v/>
      </c>
      <c r="K246" s="2"/>
      <c r="L246" s="2" t="str">
        <f aca="false">IF(OR($A246="",N(K246)=0),"",K246-K246*$B$19-N(I246))</f>
        <v/>
      </c>
      <c r="M246" s="2" t="str">
        <f aca="false">IF(OR($A246="",N(K246)=0),"",N(L246)/K246)</f>
        <v/>
      </c>
      <c r="N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 t="str">
        <f aca="false">IF($A247="","",$D$13)</f>
        <v/>
      </c>
      <c r="I247" s="2" t="str">
        <f aca="false">IF($A247="","",N(F247)*(1-N(G247))+N(H247))</f>
        <v/>
      </c>
      <c r="J247" s="2" t="str">
        <f aca="false">IF($A247="","",CEILING(I247*$B$18,500))</f>
        <v/>
      </c>
      <c r="K247" s="2"/>
      <c r="L247" s="2" t="str">
        <f aca="false">IF(OR($A247="",N(K247)=0),"",K247-K247*$B$19-N(I247))</f>
        <v/>
      </c>
      <c r="M247" s="2" t="str">
        <f aca="false">IF(OR($A247="",N(K247)=0),"",N(L247)/K247)</f>
        <v/>
      </c>
      <c r="N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 t="str">
        <f aca="false">IF($A248="","",$D$13)</f>
        <v/>
      </c>
      <c r="I248" s="2" t="str">
        <f aca="false">IF($A248="","",N(F248)*(1-N(G248))+N(H248))</f>
        <v/>
      </c>
      <c r="J248" s="2" t="str">
        <f aca="false">IF($A248="","",CEILING(I248*$B$18,500))</f>
        <v/>
      </c>
      <c r="K248" s="2"/>
      <c r="L248" s="2" t="str">
        <f aca="false">IF(OR($A248="",N(K248)=0),"",K248-K248*$B$19-N(I248))</f>
        <v/>
      </c>
      <c r="M248" s="2" t="str">
        <f aca="false">IF(OR($A248="",N(K248)=0),"",N(L248)/K248)</f>
        <v/>
      </c>
      <c r="N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 t="str">
        <f aca="false">IF($A249="","",$D$13)</f>
        <v/>
      </c>
      <c r="I249" s="2" t="str">
        <f aca="false">IF($A249="","",N(F249)*(1-N(G249))+N(H249))</f>
        <v/>
      </c>
      <c r="J249" s="2" t="str">
        <f aca="false">IF($A249="","",CEILING(I249*$B$18,500))</f>
        <v/>
      </c>
      <c r="K249" s="2"/>
      <c r="L249" s="2" t="str">
        <f aca="false">IF(OR($A249="",N(K249)=0),"",K249-K249*$B$19-N(I249))</f>
        <v/>
      </c>
      <c r="M249" s="2" t="str">
        <f aca="false">IF(OR($A249="",N(K249)=0),"",N(L249)/K249)</f>
        <v/>
      </c>
      <c r="N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 t="str">
        <f aca="false">IF($A250="","",$D$13)</f>
        <v/>
      </c>
      <c r="I250" s="2" t="str">
        <f aca="false">IF($A250="","",N(F250)*(1-N(G250))+N(H250))</f>
        <v/>
      </c>
      <c r="J250" s="2" t="str">
        <f aca="false">IF($A250="","",CEILING(I250*$B$18,500))</f>
        <v/>
      </c>
      <c r="K250" s="2"/>
      <c r="L250" s="2" t="str">
        <f aca="false">IF(OR($A250="",N(K250)=0),"",K250-K250*$B$19-N(I250))</f>
        <v/>
      </c>
      <c r="M250" s="2" t="str">
        <f aca="false">IF(OR($A250="",N(K250)=0),"",N(L250)/K250)</f>
        <v/>
      </c>
      <c r="N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 t="str">
        <f aca="false">IF($A251="","",$D$13)</f>
        <v/>
      </c>
      <c r="I251" s="2" t="str">
        <f aca="false">IF($A251="","",N(F251)*(1-N(G251))+N(H251))</f>
        <v/>
      </c>
      <c r="J251" s="2" t="str">
        <f aca="false">IF($A251="","",CEILING(I251*$B$18,500))</f>
        <v/>
      </c>
      <c r="K251" s="2"/>
      <c r="L251" s="2" t="str">
        <f aca="false">IF(OR($A251="",N(K251)=0),"",K251-K251*$B$19-N(I251))</f>
        <v/>
      </c>
      <c r="M251" s="2" t="str">
        <f aca="false">IF(OR($A251="",N(K251)=0),"",N(L251)/K251)</f>
        <v/>
      </c>
      <c r="N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 t="str">
        <f aca="false">IF($A252="","",$D$13)</f>
        <v/>
      </c>
      <c r="I252" s="2" t="str">
        <f aca="false">IF($A252="","",N(F252)*(1-N(G252))+N(H252))</f>
        <v/>
      </c>
      <c r="J252" s="2" t="str">
        <f aca="false">IF($A252="","",CEILING(I252*$B$18,500))</f>
        <v/>
      </c>
      <c r="K252" s="2"/>
      <c r="L252" s="2" t="str">
        <f aca="false">IF(OR($A252="",N(K252)=0),"",K252-K252*$B$19-N(I252))</f>
        <v/>
      </c>
      <c r="M252" s="2" t="str">
        <f aca="false">IF(OR($A252="",N(K252)=0),"",N(L252)/K252)</f>
        <v/>
      </c>
      <c r="N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 t="str">
        <f aca="false">IF($A253="","",$D$13)</f>
        <v/>
      </c>
      <c r="I253" s="2" t="str">
        <f aca="false">IF($A253="","",N(F253)*(1-N(G253))+N(H253))</f>
        <v/>
      </c>
      <c r="J253" s="2" t="str">
        <f aca="false">IF($A253="","",CEILING(I253*$B$18,500))</f>
        <v/>
      </c>
      <c r="K253" s="2"/>
      <c r="L253" s="2" t="str">
        <f aca="false">IF(OR($A253="",N(K253)=0),"",K253-K253*$B$19-N(I253))</f>
        <v/>
      </c>
      <c r="M253" s="2" t="str">
        <f aca="false">IF(OR($A253="",N(K253)=0),"",N(L253)/K253)</f>
        <v/>
      </c>
      <c r="N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 t="str">
        <f aca="false">IF($A254="","",$D$13)</f>
        <v/>
      </c>
      <c r="I254" s="2" t="str">
        <f aca="false">IF($A254="","",N(F254)*(1-N(G254))+N(H254))</f>
        <v/>
      </c>
      <c r="J254" s="2" t="str">
        <f aca="false">IF($A254="","",CEILING(I254*$B$18,500))</f>
        <v/>
      </c>
      <c r="K254" s="2"/>
      <c r="L254" s="2" t="str">
        <f aca="false">IF(OR($A254="",N(K254)=0),"",K254-K254*$B$19-N(I254))</f>
        <v/>
      </c>
      <c r="M254" s="2" t="str">
        <f aca="false">IF(OR($A254="",N(K254)=0),"",N(L254)/K254)</f>
        <v/>
      </c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 t="str">
        <f aca="false">IF($A255="","",$D$13)</f>
        <v/>
      </c>
      <c r="I255" s="2" t="str">
        <f aca="false">IF($A255="","",N(F255)*(1-N(G255))+N(H255))</f>
        <v/>
      </c>
      <c r="J255" s="2" t="str">
        <f aca="false">IF($A255="","",CEILING(I255*$B$18,500))</f>
        <v/>
      </c>
      <c r="K255" s="2"/>
      <c r="L255" s="2" t="str">
        <f aca="false">IF(OR($A255="",N(K255)=0),"",K255-K255*$B$19-N(I255))</f>
        <v/>
      </c>
      <c r="M255" s="2" t="str">
        <f aca="false">IF(OR($A255="",N(K255)=0),"",N(L255)/K255)</f>
        <v/>
      </c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 t="str">
        <f aca="false">IF($A256="","",$D$13)</f>
        <v/>
      </c>
      <c r="I256" s="2" t="str">
        <f aca="false">IF($A256="","",N(F256)*(1-N(G256))+N(H256))</f>
        <v/>
      </c>
      <c r="J256" s="2" t="str">
        <f aca="false">IF($A256="","",CEILING(I256*$B$18,500))</f>
        <v/>
      </c>
      <c r="K256" s="2"/>
      <c r="L256" s="2" t="str">
        <f aca="false">IF(OR($A256="",N(K256)=0),"",K256-K256*$B$19-N(I256))</f>
        <v/>
      </c>
      <c r="M256" s="2" t="str">
        <f aca="false">IF(OR($A256="",N(K256)=0),"",N(L256)/K256)</f>
        <v/>
      </c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 t="str">
        <f aca="false">IF($A257="","",$D$13)</f>
        <v/>
      </c>
      <c r="I257" s="2" t="str">
        <f aca="false">IF($A257="","",N(F257)*(1-N(G257))+N(H257))</f>
        <v/>
      </c>
      <c r="J257" s="2" t="str">
        <f aca="false">IF($A257="","",CEILING(I257*$B$18,500))</f>
        <v/>
      </c>
      <c r="K257" s="2"/>
      <c r="L257" s="2" t="str">
        <f aca="false">IF(OR($A257="",N(K257)=0),"",K257-K257*$B$19-N(I257))</f>
        <v/>
      </c>
      <c r="M257" s="2" t="str">
        <f aca="false">IF(OR($A257="",N(K257)=0),"",N(L257)/K257)</f>
        <v/>
      </c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 t="str">
        <f aca="false">IF($A258="","",$D$13)</f>
        <v/>
      </c>
      <c r="I258" s="2" t="str">
        <f aca="false">IF($A258="","",N(F258)*(1-N(G258))+N(H258))</f>
        <v/>
      </c>
      <c r="J258" s="2" t="str">
        <f aca="false">IF($A258="","",CEILING(I258*$B$18,500))</f>
        <v/>
      </c>
      <c r="K258" s="2"/>
      <c r="L258" s="2" t="str">
        <f aca="false">IF(OR($A258="",N(K258)=0),"",K258-K258*$B$19-N(I258))</f>
        <v/>
      </c>
      <c r="M258" s="2" t="str">
        <f aca="false">IF(OR($A258="",N(K258)=0),"",N(L258)/K258)</f>
        <v/>
      </c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 t="str">
        <f aca="false">IF($A259="","",$D$13)</f>
        <v/>
      </c>
      <c r="I259" s="2" t="str">
        <f aca="false">IF($A259="","",N(F259)*(1-N(G259))+N(H259))</f>
        <v/>
      </c>
      <c r="J259" s="2" t="str">
        <f aca="false">IF($A259="","",CEILING(I259*$B$18,500))</f>
        <v/>
      </c>
      <c r="K259" s="2"/>
      <c r="L259" s="2" t="str">
        <f aca="false">IF(OR($A259="",N(K259)=0),"",K259-K259*$B$19-N(I259))</f>
        <v/>
      </c>
      <c r="M259" s="2" t="str">
        <f aca="false">IF(OR($A259="",N(K259)=0),"",N(L259)/K259)</f>
        <v/>
      </c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 t="str">
        <f aca="false">IF($A260="","",$D$13)</f>
        <v/>
      </c>
      <c r="I260" s="2" t="str">
        <f aca="false">IF($A260="","",N(F260)*(1-N(G260))+N(H260))</f>
        <v/>
      </c>
      <c r="J260" s="2" t="str">
        <f aca="false">IF($A260="","",CEILING(I260*$B$18,500))</f>
        <v/>
      </c>
      <c r="K260" s="2"/>
      <c r="L260" s="2" t="str">
        <f aca="false">IF(OR($A260="",N(K260)=0),"",K260-K260*$B$19-N(I260))</f>
        <v/>
      </c>
      <c r="M260" s="2" t="str">
        <f aca="false">IF(OR($A260="",N(K260)=0),"",N(L260)/K260)</f>
        <v/>
      </c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 t="str">
        <f aca="false">IF($A261="","",$D$13)</f>
        <v/>
      </c>
      <c r="I261" s="2" t="str">
        <f aca="false">IF($A261="","",N(F261)*(1-N(G261))+N(H261))</f>
        <v/>
      </c>
      <c r="J261" s="2" t="str">
        <f aca="false">IF($A261="","",CEILING(I261*$B$18,500))</f>
        <v/>
      </c>
      <c r="K261" s="2"/>
      <c r="L261" s="2" t="str">
        <f aca="false">IF(OR($A261="",N(K261)=0),"",K261-K261*$B$19-N(I261))</f>
        <v/>
      </c>
      <c r="M261" s="2" t="str">
        <f aca="false">IF(OR($A261="",N(K261)=0),"",N(L261)/K261)</f>
        <v/>
      </c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 t="str">
        <f aca="false">IF($A262="","",$D$13)</f>
        <v/>
      </c>
      <c r="I262" s="2" t="str">
        <f aca="false">IF($A262="","",N(F262)*(1-N(G262))+N(H262))</f>
        <v/>
      </c>
      <c r="J262" s="2" t="str">
        <f aca="false">IF($A262="","",CEILING(I262*$B$18,500))</f>
        <v/>
      </c>
      <c r="K262" s="2"/>
      <c r="L262" s="2" t="str">
        <f aca="false">IF(OR($A262="",N(K262)=0),"",K262-K262*$B$19-N(I262))</f>
        <v/>
      </c>
      <c r="M262" s="2" t="str">
        <f aca="false">IF(OR($A262="",N(K262)=0),"",N(L262)/K262)</f>
        <v/>
      </c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 t="str">
        <f aca="false">IF($A263="","",$D$13)</f>
        <v/>
      </c>
      <c r="I263" s="2" t="str">
        <f aca="false">IF($A263="","",N(F263)*(1-N(G263))+N(H263))</f>
        <v/>
      </c>
      <c r="J263" s="2" t="str">
        <f aca="false">IF($A263="","",CEILING(I263*$B$18,500))</f>
        <v/>
      </c>
      <c r="K263" s="2"/>
      <c r="L263" s="2" t="str">
        <f aca="false">IF(OR($A263="",N(K263)=0),"",K263-K263*$B$19-N(I263))</f>
        <v/>
      </c>
      <c r="M263" s="2" t="str">
        <f aca="false">IF(OR($A263="",N(K263)=0),"",N(L263)/K263)</f>
        <v/>
      </c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 t="str">
        <f aca="false">IF($A264="","",$D$13)</f>
        <v/>
      </c>
      <c r="I264" s="2" t="str">
        <f aca="false">IF($A264="","",N(F264)*(1-N(G264))+N(H264))</f>
        <v/>
      </c>
      <c r="J264" s="2" t="str">
        <f aca="false">IF($A264="","",CEILING(I264*$B$18,500))</f>
        <v/>
      </c>
      <c r="K264" s="2"/>
      <c r="L264" s="2" t="str">
        <f aca="false">IF(OR($A264="",N(K264)=0),"",K264-K264*$B$19-N(I264))</f>
        <v/>
      </c>
      <c r="M264" s="2" t="str">
        <f aca="false">IF(OR($A264="",N(K264)=0),"",N(L264)/K264)</f>
        <v/>
      </c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 t="str">
        <f aca="false">IF($A265="","",$D$13)</f>
        <v/>
      </c>
      <c r="I265" s="2" t="str">
        <f aca="false">IF($A265="","",N(F265)*(1-N(G265))+N(H265))</f>
        <v/>
      </c>
      <c r="J265" s="2" t="str">
        <f aca="false">IF($A265="","",CEILING(I265*$B$18,500))</f>
        <v/>
      </c>
      <c r="K265" s="2"/>
      <c r="L265" s="2" t="str">
        <f aca="false">IF(OR($A265="",N(K265)=0),"",K265-K265*$B$19-N(I265))</f>
        <v/>
      </c>
      <c r="M265" s="2" t="str">
        <f aca="false">IF(OR($A265="",N(K265)=0),"",N(L265)/K265)</f>
        <v/>
      </c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 t="str">
        <f aca="false">IF($A266="","",$D$13)</f>
        <v/>
      </c>
      <c r="I266" s="2" t="str">
        <f aca="false">IF($A266="","",N(F266)*(1-N(G266))+N(H266))</f>
        <v/>
      </c>
      <c r="J266" s="2" t="str">
        <f aca="false">IF($A266="","",CEILING(I266*$B$18,500))</f>
        <v/>
      </c>
      <c r="K266" s="2"/>
      <c r="L266" s="2" t="str">
        <f aca="false">IF(OR($A266="",N(K266)=0),"",K266-K266*$B$19-N(I266))</f>
        <v/>
      </c>
      <c r="M266" s="2" t="str">
        <f aca="false">IF(OR($A266="",N(K266)=0),"",N(L266)/K266)</f>
        <v/>
      </c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 t="str">
        <f aca="false">IF($A267="","",$D$13)</f>
        <v/>
      </c>
      <c r="I267" s="2" t="str">
        <f aca="false">IF($A267="","",N(F267)*(1-N(G267))+N(H267))</f>
        <v/>
      </c>
      <c r="J267" s="2" t="str">
        <f aca="false">IF($A267="","",CEILING(I267*$B$18,500))</f>
        <v/>
      </c>
      <c r="K267" s="2"/>
      <c r="L267" s="2" t="str">
        <f aca="false">IF(OR($A267="",N(K267)=0),"",K267-K267*$B$19-N(I267))</f>
        <v/>
      </c>
      <c r="M267" s="2" t="str">
        <f aca="false">IF(OR($A267="",N(K267)=0),"",N(L267)/K267)</f>
        <v/>
      </c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 t="str">
        <f aca="false">IF($A268="","",$D$13)</f>
        <v/>
      </c>
      <c r="I268" s="2" t="str">
        <f aca="false">IF($A268="","",N(F268)*(1-N(G268))+N(H268))</f>
        <v/>
      </c>
      <c r="J268" s="2" t="str">
        <f aca="false">IF($A268="","",CEILING(I268*$B$18,500))</f>
        <v/>
      </c>
      <c r="K268" s="2"/>
      <c r="L268" s="2" t="str">
        <f aca="false">IF(OR($A268="",N(K268)=0),"",K268-K268*$B$19-N(I268))</f>
        <v/>
      </c>
      <c r="M268" s="2" t="str">
        <f aca="false">IF(OR($A268="",N(K268)=0),"",N(L268)/K268)</f>
        <v/>
      </c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 t="str">
        <f aca="false">IF($A269="","",$D$13)</f>
        <v/>
      </c>
      <c r="I269" s="2" t="str">
        <f aca="false">IF($A269="","",N(F269)*(1-N(G269))+N(H269))</f>
        <v/>
      </c>
      <c r="J269" s="2" t="str">
        <f aca="false">IF($A269="","",CEILING(I269*$B$18,500))</f>
        <v/>
      </c>
      <c r="K269" s="2"/>
      <c r="L269" s="2" t="str">
        <f aca="false">IF(OR($A269="",N(K269)=0),"",K269-K269*$B$19-N(I269))</f>
        <v/>
      </c>
      <c r="M269" s="2" t="str">
        <f aca="false">IF(OR($A269="",N(K269)=0),"",N(L269)/K269)</f>
        <v/>
      </c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 t="str">
        <f aca="false">IF($A270="","",$D$13)</f>
        <v/>
      </c>
      <c r="I270" s="2" t="str">
        <f aca="false">IF($A270="","",N(F270)*(1-N(G270))+N(H270))</f>
        <v/>
      </c>
      <c r="J270" s="2" t="str">
        <f aca="false">IF($A270="","",CEILING(I270*$B$18,500))</f>
        <v/>
      </c>
      <c r="K270" s="2"/>
      <c r="L270" s="2" t="str">
        <f aca="false">IF(OR($A270="",N(K270)=0),"",K270-K270*$B$19-N(I270))</f>
        <v/>
      </c>
      <c r="M270" s="2" t="str">
        <f aca="false">IF(OR($A270="",N(K270)=0),"",N(L270)/K270)</f>
        <v/>
      </c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 t="str">
        <f aca="false">IF($A271="","",$D$13)</f>
        <v/>
      </c>
      <c r="I271" s="2" t="str">
        <f aca="false">IF($A271="","",N(F271)*(1-N(G271))+N(H271))</f>
        <v/>
      </c>
      <c r="J271" s="2" t="str">
        <f aca="false">IF($A271="","",CEILING(I271*$B$18,500))</f>
        <v/>
      </c>
      <c r="K271" s="2"/>
      <c r="L271" s="2" t="str">
        <f aca="false">IF(OR($A271="",N(K271)=0),"",K271-K271*$B$19-N(I271))</f>
        <v/>
      </c>
      <c r="M271" s="2" t="str">
        <f aca="false">IF(OR($A271="",N(K271)=0),"",N(L271)/K271)</f>
        <v/>
      </c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 t="str">
        <f aca="false">IF($A272="","",$D$13)</f>
        <v/>
      </c>
      <c r="I272" s="2" t="str">
        <f aca="false">IF($A272="","",N(F272)*(1-N(G272))+N(H272))</f>
        <v/>
      </c>
      <c r="J272" s="2" t="str">
        <f aca="false">IF($A272="","",CEILING(I272*$B$18,500))</f>
        <v/>
      </c>
      <c r="K272" s="2"/>
      <c r="L272" s="2" t="str">
        <f aca="false">IF(OR($A272="",N(K272)=0),"",K272-K272*$B$19-N(I272))</f>
        <v/>
      </c>
      <c r="M272" s="2" t="str">
        <f aca="false">IF(OR($A272="",N(K272)=0),"",N(L272)/K272)</f>
        <v/>
      </c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 t="str">
        <f aca="false">IF($A273="","",$D$13)</f>
        <v/>
      </c>
      <c r="I273" s="2" t="str">
        <f aca="false">IF($A273="","",N(F273)*(1-N(G273))+N(H273))</f>
        <v/>
      </c>
      <c r="J273" s="2" t="str">
        <f aca="false">IF($A273="","",CEILING(I273*$B$18,500))</f>
        <v/>
      </c>
      <c r="K273" s="2"/>
      <c r="L273" s="2" t="str">
        <f aca="false">IF(OR($A273="",N(K273)=0),"",K273-K273*$B$19-N(I273))</f>
        <v/>
      </c>
      <c r="M273" s="2" t="str">
        <f aca="false">IF(OR($A273="",N(K273)=0),"",N(L273)/K273)</f>
        <v/>
      </c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 t="str">
        <f aca="false">IF($A274="","",$D$13)</f>
        <v/>
      </c>
      <c r="I274" s="2" t="str">
        <f aca="false">IF($A274="","",N(F274)*(1-N(G274))+N(H274))</f>
        <v/>
      </c>
      <c r="J274" s="2" t="str">
        <f aca="false">IF($A274="","",CEILING(I274*$B$18,500))</f>
        <v/>
      </c>
      <c r="K274" s="2"/>
      <c r="L274" s="2" t="str">
        <f aca="false">IF(OR($A274="",N(K274)=0),"",K274-K274*$B$19-N(I274))</f>
        <v/>
      </c>
      <c r="M274" s="2" t="str">
        <f aca="false">IF(OR($A274="",N(K274)=0),"",N(L274)/K274)</f>
        <v/>
      </c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 t="str">
        <f aca="false">IF($A275="","",$D$13)</f>
        <v/>
      </c>
      <c r="I275" s="2" t="str">
        <f aca="false">IF($A275="","",N(F275)*(1-N(G275))+N(H275))</f>
        <v/>
      </c>
      <c r="J275" s="2" t="str">
        <f aca="false">IF($A275="","",CEILING(I275*$B$18,500))</f>
        <v/>
      </c>
      <c r="K275" s="2"/>
      <c r="L275" s="2" t="str">
        <f aca="false">IF(OR($A275="",N(K275)=0),"",K275-K275*$B$19-N(I275))</f>
        <v/>
      </c>
      <c r="M275" s="2" t="str">
        <f aca="false">IF(OR($A275="",N(K275)=0),"",N(L275)/K275)</f>
        <v/>
      </c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 t="str">
        <f aca="false">IF($A276="","",$D$13)</f>
        <v/>
      </c>
      <c r="I276" s="2" t="str">
        <f aca="false">IF($A276="","",N(F276)*(1-N(G276))+N(H276))</f>
        <v/>
      </c>
      <c r="J276" s="2" t="str">
        <f aca="false">IF($A276="","",CEILING(I276*$B$18,500))</f>
        <v/>
      </c>
      <c r="K276" s="2"/>
      <c r="L276" s="2" t="str">
        <f aca="false">IF(OR($A276="",N(K276)=0),"",K276-K276*$B$19-N(I276))</f>
        <v/>
      </c>
      <c r="M276" s="2" t="str">
        <f aca="false">IF(OR($A276="",N(K276)=0),"",N(L276)/K276)</f>
        <v/>
      </c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 t="str">
        <f aca="false">IF($A277="","",$D$13)</f>
        <v/>
      </c>
      <c r="I277" s="2" t="str">
        <f aca="false">IF($A277="","",N(F277)*(1-N(G277))+N(H277))</f>
        <v/>
      </c>
      <c r="J277" s="2" t="str">
        <f aca="false">IF($A277="","",CEILING(I277*$B$18,500))</f>
        <v/>
      </c>
      <c r="K277" s="2"/>
      <c r="L277" s="2" t="str">
        <f aca="false">IF(OR($A277="",N(K277)=0),"",K277-K277*$B$19-N(I277))</f>
        <v/>
      </c>
      <c r="M277" s="2" t="str">
        <f aca="false">IF(OR($A277="",N(K277)=0),"",N(L277)/K277)</f>
        <v/>
      </c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 t="str">
        <f aca="false">IF($A278="","",$D$13)</f>
        <v/>
      </c>
      <c r="I278" s="2" t="str">
        <f aca="false">IF($A278="","",N(F278)*(1-N(G278))+N(H278))</f>
        <v/>
      </c>
      <c r="J278" s="2" t="str">
        <f aca="false">IF($A278="","",CEILING(I278*$B$18,500))</f>
        <v/>
      </c>
      <c r="K278" s="2"/>
      <c r="L278" s="2" t="str">
        <f aca="false">IF(OR($A278="",N(K278)=0),"",K278-K278*$B$19-N(I278))</f>
        <v/>
      </c>
      <c r="M278" s="2" t="str">
        <f aca="false">IF(OR($A278="",N(K278)=0),"",N(L278)/K278)</f>
        <v/>
      </c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 t="str">
        <f aca="false">IF($A279="","",$D$13)</f>
        <v/>
      </c>
      <c r="I279" s="2" t="str">
        <f aca="false">IF($A279="","",N(F279)*(1-N(G279))+N(H279))</f>
        <v/>
      </c>
      <c r="J279" s="2" t="str">
        <f aca="false">IF($A279="","",CEILING(I279*$B$18,500))</f>
        <v/>
      </c>
      <c r="K279" s="2"/>
      <c r="L279" s="2" t="str">
        <f aca="false">IF(OR($A279="",N(K279)=0),"",K279-K279*$B$19-N(I279))</f>
        <v/>
      </c>
      <c r="M279" s="2" t="str">
        <f aca="false">IF(OR($A279="",N(K279)=0),"",N(L279)/K279)</f>
        <v/>
      </c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 t="str">
        <f aca="false">IF($A280="","",$D$13)</f>
        <v/>
      </c>
      <c r="I280" s="2" t="str">
        <f aca="false">IF($A280="","",N(F280)*(1-N(G280))+N(H280))</f>
        <v/>
      </c>
      <c r="J280" s="2" t="str">
        <f aca="false">IF($A280="","",CEILING(I280*$B$18,500))</f>
        <v/>
      </c>
      <c r="K280" s="2"/>
      <c r="L280" s="2" t="str">
        <f aca="false">IF(OR($A280="",N(K280)=0),"",K280-K280*$B$19-N(I280))</f>
        <v/>
      </c>
      <c r="M280" s="2" t="str">
        <f aca="false">IF(OR($A280="",N(K280)=0),"",N(L280)/K280)</f>
        <v/>
      </c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 t="str">
        <f aca="false">IF($A281="","",$D$13)</f>
        <v/>
      </c>
      <c r="I281" s="2" t="str">
        <f aca="false">IF($A281="","",N(F281)*(1-N(G281))+N(H281))</f>
        <v/>
      </c>
      <c r="J281" s="2" t="str">
        <f aca="false">IF($A281="","",CEILING(I281*$B$18,500))</f>
        <v/>
      </c>
      <c r="K281" s="2"/>
      <c r="L281" s="2" t="str">
        <f aca="false">IF(OR($A281="",N(K281)=0),"",K281-K281*$B$19-N(I281))</f>
        <v/>
      </c>
      <c r="M281" s="2" t="str">
        <f aca="false">IF(OR($A281="",N(K281)=0),"",N(L281)/K281)</f>
        <v/>
      </c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 t="str">
        <f aca="false">IF($A282="","",$D$13)</f>
        <v/>
      </c>
      <c r="I282" s="2" t="str">
        <f aca="false">IF($A282="","",N(F282)*(1-N(G282))+N(H282))</f>
        <v/>
      </c>
      <c r="J282" s="2" t="str">
        <f aca="false">IF($A282="","",CEILING(I282*$B$18,500))</f>
        <v/>
      </c>
      <c r="K282" s="2"/>
      <c r="L282" s="2" t="str">
        <f aca="false">IF(OR($A282="",N(K282)=0),"",K282-K282*$B$19-N(I282))</f>
        <v/>
      </c>
      <c r="M282" s="2" t="str">
        <f aca="false">IF(OR($A282="",N(K282)=0),"",N(L282)/K282)</f>
        <v/>
      </c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 t="str">
        <f aca="false">IF($A283="","",$D$13)</f>
        <v/>
      </c>
      <c r="I283" s="2" t="str">
        <f aca="false">IF($A283="","",N(F283)*(1-N(G283))+N(H283))</f>
        <v/>
      </c>
      <c r="J283" s="2" t="str">
        <f aca="false">IF($A283="","",CEILING(I283*$B$18,500))</f>
        <v/>
      </c>
      <c r="K283" s="2"/>
      <c r="L283" s="2" t="str">
        <f aca="false">IF(OR($A283="",N(K283)=0),"",K283-K283*$B$19-N(I283))</f>
        <v/>
      </c>
      <c r="M283" s="2" t="str">
        <f aca="false">IF(OR($A283="",N(K283)=0),"",N(L283)/K283)</f>
        <v/>
      </c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 t="str">
        <f aca="false">IF($A284="","",$D$13)</f>
        <v/>
      </c>
      <c r="I284" s="2" t="str">
        <f aca="false">IF($A284="","",N(F284)*(1-N(G284))+N(H284))</f>
        <v/>
      </c>
      <c r="J284" s="2" t="str">
        <f aca="false">IF($A284="","",CEILING(I284*$B$18,500))</f>
        <v/>
      </c>
      <c r="K284" s="2"/>
      <c r="L284" s="2" t="str">
        <f aca="false">IF(OR($A284="",N(K284)=0),"",K284-K284*$B$19-N(I284))</f>
        <v/>
      </c>
      <c r="M284" s="2" t="str">
        <f aca="false">IF(OR($A284="",N(K284)=0),"",N(L284)/K284)</f>
        <v/>
      </c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 t="str">
        <f aca="false">IF($A285="","",$D$13)</f>
        <v/>
      </c>
      <c r="I285" s="2" t="str">
        <f aca="false">IF($A285="","",N(F285)*(1-N(G285))+N(H285))</f>
        <v/>
      </c>
      <c r="J285" s="2" t="str">
        <f aca="false">IF($A285="","",CEILING(I285*$B$18,500))</f>
        <v/>
      </c>
      <c r="K285" s="2"/>
      <c r="L285" s="2" t="str">
        <f aca="false">IF(OR($A285="",N(K285)=0),"",K285-K285*$B$19-N(I285))</f>
        <v/>
      </c>
      <c r="M285" s="2" t="str">
        <f aca="false">IF(OR($A285="",N(K285)=0),"",N(L285)/K285)</f>
        <v/>
      </c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 t="str">
        <f aca="false">IF($A286="","",$D$13)</f>
        <v/>
      </c>
      <c r="I286" s="2" t="str">
        <f aca="false">IF($A286="","",N(F286)*(1-N(G286))+N(H286))</f>
        <v/>
      </c>
      <c r="J286" s="2" t="str">
        <f aca="false">IF($A286="","",CEILING(I286*$B$18,500))</f>
        <v/>
      </c>
      <c r="K286" s="2"/>
      <c r="L286" s="2" t="str">
        <f aca="false">IF(OR($A286="",N(K286)=0),"",K286-K286*$B$19-N(I286))</f>
        <v/>
      </c>
      <c r="M286" s="2" t="str">
        <f aca="false">IF(OR($A286="",N(K286)=0),"",N(L286)/K286)</f>
        <v/>
      </c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 t="str">
        <f aca="false">IF($A287="","",$D$13)</f>
        <v/>
      </c>
      <c r="I287" s="2" t="str">
        <f aca="false">IF($A287="","",N(F287)*(1-N(G287))+N(H287))</f>
        <v/>
      </c>
      <c r="J287" s="2" t="str">
        <f aca="false">IF($A287="","",CEILING(I287*$B$18,500))</f>
        <v/>
      </c>
      <c r="K287" s="2"/>
      <c r="L287" s="2" t="str">
        <f aca="false">IF(OR($A287="",N(K287)=0),"",K287-K287*$B$19-N(I287))</f>
        <v/>
      </c>
      <c r="M287" s="2" t="str">
        <f aca="false">IF(OR($A287="",N(K287)=0),"",N(L287)/K287)</f>
        <v/>
      </c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 t="str">
        <f aca="false">IF($A288="","",$D$13)</f>
        <v/>
      </c>
      <c r="I288" s="2" t="str">
        <f aca="false">IF($A288="","",N(F288)*(1-N(G288))+N(H288))</f>
        <v/>
      </c>
      <c r="J288" s="2" t="str">
        <f aca="false">IF($A288="","",CEILING(I288*$B$18,500))</f>
        <v/>
      </c>
      <c r="K288" s="2"/>
      <c r="L288" s="2" t="str">
        <f aca="false">IF(OR($A288="",N(K288)=0),"",K288-K288*$B$19-N(I288))</f>
        <v/>
      </c>
      <c r="M288" s="2" t="str">
        <f aca="false">IF(OR($A288="",N(K288)=0),"",N(L288)/K288)</f>
        <v/>
      </c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 t="str">
        <f aca="false">IF($A289="","",$D$13)</f>
        <v/>
      </c>
      <c r="I289" s="2" t="str">
        <f aca="false">IF($A289="","",N(F289)*(1-N(G289))+N(H289))</f>
        <v/>
      </c>
      <c r="J289" s="2" t="str">
        <f aca="false">IF($A289="","",CEILING(I289*$B$18,500))</f>
        <v/>
      </c>
      <c r="K289" s="2"/>
      <c r="L289" s="2" t="str">
        <f aca="false">IF(OR($A289="",N(K289)=0),"",K289-K289*$B$19-N(I289))</f>
        <v/>
      </c>
      <c r="M289" s="2" t="str">
        <f aca="false">IF(OR($A289="",N(K289)=0),"",N(L289)/K289)</f>
        <v/>
      </c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 t="str">
        <f aca="false">IF($A290="","",$D$13)</f>
        <v/>
      </c>
      <c r="I290" s="2" t="str">
        <f aca="false">IF($A290="","",N(F290)*(1-N(G290))+N(H290))</f>
        <v/>
      </c>
      <c r="J290" s="2" t="str">
        <f aca="false">IF($A290="","",CEILING(I290*$B$18,500))</f>
        <v/>
      </c>
      <c r="K290" s="2"/>
      <c r="L290" s="2" t="str">
        <f aca="false">IF(OR($A290="",N(K290)=0),"",K290-K290*$B$19-N(I290))</f>
        <v/>
      </c>
      <c r="M290" s="2" t="str">
        <f aca="false">IF(OR($A290="",N(K290)=0),"",N(L290)/K290)</f>
        <v/>
      </c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 t="str">
        <f aca="false">IF($A291="","",$D$13)</f>
        <v/>
      </c>
      <c r="I291" s="2" t="str">
        <f aca="false">IF($A291="","",N(F291)*(1-N(G291))+N(H291))</f>
        <v/>
      </c>
      <c r="J291" s="2" t="str">
        <f aca="false">IF($A291="","",CEILING(I291*$B$18,500))</f>
        <v/>
      </c>
      <c r="K291" s="2"/>
      <c r="L291" s="2" t="str">
        <f aca="false">IF(OR($A291="",N(K291)=0),"",K291-K291*$B$19-N(I291))</f>
        <v/>
      </c>
      <c r="M291" s="2" t="str">
        <f aca="false">IF(OR($A291="",N(K291)=0),"",N(L291)/K291)</f>
        <v/>
      </c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 t="str">
        <f aca="false">IF($A292="","",$D$13)</f>
        <v/>
      </c>
      <c r="I292" s="2" t="str">
        <f aca="false">IF($A292="","",N(F292)*(1-N(G292))+N(H292))</f>
        <v/>
      </c>
      <c r="J292" s="2" t="str">
        <f aca="false">IF($A292="","",CEILING(I292*$B$18,500))</f>
        <v/>
      </c>
      <c r="K292" s="2"/>
      <c r="L292" s="2" t="str">
        <f aca="false">IF(OR($A292="",N(K292)=0),"",K292-K292*$B$19-N(I292))</f>
        <v/>
      </c>
      <c r="M292" s="2" t="str">
        <f aca="false">IF(OR($A292="",N(K292)=0),"",N(L292)/K292)</f>
        <v/>
      </c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 t="str">
        <f aca="false">IF($A293="","",$D$13)</f>
        <v/>
      </c>
      <c r="I293" s="2" t="str">
        <f aca="false">IF($A293="","",N(F293)*(1-N(G293))+N(H293))</f>
        <v/>
      </c>
      <c r="J293" s="2" t="str">
        <f aca="false">IF($A293="","",CEILING(I293*$B$18,500))</f>
        <v/>
      </c>
      <c r="K293" s="2"/>
      <c r="L293" s="2" t="str">
        <f aca="false">IF(OR($A293="",N(K293)=0),"",K293-K293*$B$19-N(I293))</f>
        <v/>
      </c>
      <c r="M293" s="2" t="str">
        <f aca="false">IF(OR($A293="",N(K293)=0),"",N(L293)/K293)</f>
        <v/>
      </c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 t="str">
        <f aca="false">IF($A294="","",$D$13)</f>
        <v/>
      </c>
      <c r="I294" s="2" t="str">
        <f aca="false">IF($A294="","",N(F294)*(1-N(G294))+N(H294))</f>
        <v/>
      </c>
      <c r="J294" s="2" t="str">
        <f aca="false">IF($A294="","",CEILING(I294*$B$18,500))</f>
        <v/>
      </c>
      <c r="K294" s="2"/>
      <c r="L294" s="2" t="str">
        <f aca="false">IF(OR($A294="",N(K294)=0),"",K294-K294*$B$19-N(I294))</f>
        <v/>
      </c>
      <c r="M294" s="2" t="str">
        <f aca="false">IF(OR($A294="",N(K294)=0),"",N(L294)/K294)</f>
        <v/>
      </c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 t="str">
        <f aca="false">IF($A295="","",$D$13)</f>
        <v/>
      </c>
      <c r="I295" s="2" t="str">
        <f aca="false">IF($A295="","",N(F295)*(1-N(G295))+N(H295))</f>
        <v/>
      </c>
      <c r="J295" s="2" t="str">
        <f aca="false">IF($A295="","",CEILING(I295*$B$18,500))</f>
        <v/>
      </c>
      <c r="K295" s="2"/>
      <c r="L295" s="2" t="str">
        <f aca="false">IF(OR($A295="",N(K295)=0),"",K295-K295*$B$19-N(I295))</f>
        <v/>
      </c>
      <c r="M295" s="2" t="str">
        <f aca="false">IF(OR($A295="",N(K295)=0),"",N(L295)/K295)</f>
        <v/>
      </c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 t="str">
        <f aca="false">IF($A296="","",$D$13)</f>
        <v/>
      </c>
      <c r="I296" s="2" t="str">
        <f aca="false">IF($A296="","",N(F296)*(1-N(G296))+N(H296))</f>
        <v/>
      </c>
      <c r="J296" s="2" t="str">
        <f aca="false">IF($A296="","",CEILING(I296*$B$18,500))</f>
        <v/>
      </c>
      <c r="K296" s="2"/>
      <c r="L296" s="2" t="str">
        <f aca="false">IF(OR($A296="",N(K296)=0),"",K296-K296*$B$19-N(I296))</f>
        <v/>
      </c>
      <c r="M296" s="2" t="str">
        <f aca="false">IF(OR($A296="",N(K296)=0),"",N(L296)/K296)</f>
        <v/>
      </c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 t="str">
        <f aca="false">IF($A297="","",$D$13)</f>
        <v/>
      </c>
      <c r="I297" s="2" t="str">
        <f aca="false">IF($A297="","",N(F297)*(1-N(G297))+N(H297))</f>
        <v/>
      </c>
      <c r="J297" s="2" t="str">
        <f aca="false">IF($A297="","",CEILING(I297*$B$18,500))</f>
        <v/>
      </c>
      <c r="K297" s="2"/>
      <c r="L297" s="2" t="str">
        <f aca="false">IF(OR($A297="",N(K297)=0),"",K297-K297*$B$19-N(I297))</f>
        <v/>
      </c>
      <c r="M297" s="2" t="str">
        <f aca="false">IF(OR($A297="",N(K297)=0),"",N(L297)/K297)</f>
        <v/>
      </c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 t="str">
        <f aca="false">IF($A298="","",$D$13)</f>
        <v/>
      </c>
      <c r="I298" s="2" t="str">
        <f aca="false">IF($A298="","",N(F298)*(1-N(G298))+N(H298))</f>
        <v/>
      </c>
      <c r="J298" s="2" t="str">
        <f aca="false">IF($A298="","",CEILING(I298*$B$18,500))</f>
        <v/>
      </c>
      <c r="K298" s="2"/>
      <c r="L298" s="2" t="str">
        <f aca="false">IF(OR($A298="",N(K298)=0),"",K298-K298*$B$19-N(I298))</f>
        <v/>
      </c>
      <c r="M298" s="2" t="str">
        <f aca="false">IF(OR($A298="",N(K298)=0),"",N(L298)/K298)</f>
        <v/>
      </c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 t="str">
        <f aca="false">IF($A299="","",$D$13)</f>
        <v/>
      </c>
      <c r="I299" s="2" t="str">
        <f aca="false">IF($A299="","",N(F299)*(1-N(G299))+N(H299))</f>
        <v/>
      </c>
      <c r="J299" s="2" t="str">
        <f aca="false">IF($A299="","",CEILING(I299*$B$18,500))</f>
        <v/>
      </c>
      <c r="K299" s="2"/>
      <c r="L299" s="2" t="str">
        <f aca="false">IF(OR($A299="",N(K299)=0),"",K299-K299*$B$19-N(I299))</f>
        <v/>
      </c>
      <c r="M299" s="2" t="str">
        <f aca="false">IF(OR($A299="",N(K299)=0),"",N(L299)/K299)</f>
        <v/>
      </c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 t="str">
        <f aca="false">IF($A300="","",$D$13)</f>
        <v/>
      </c>
      <c r="I300" s="2" t="str">
        <f aca="false">IF($A300="","",N(F300)*(1-N(G300))+N(H300))</f>
        <v/>
      </c>
      <c r="J300" s="2" t="str">
        <f aca="false">IF($A300="","",CEILING(I300*$B$18,500))</f>
        <v/>
      </c>
      <c r="K300" s="2"/>
      <c r="L300" s="2" t="str">
        <f aca="false">IF(OR($A300="",N(K300)=0),"",K300-K300*$B$19-N(I300))</f>
        <v/>
      </c>
      <c r="M300" s="2" t="str">
        <f aca="false">IF(OR($A300="",N(K300)=0),"",N(L300)/K300)</f>
        <v/>
      </c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3">
    <dataValidation allowBlank="true" errorStyle="stop" operator="between" showDropDown="false" showErrorMessage="false" showInputMessage="false" sqref="B23:B71 B73:B116 B120:B147" type="list">
      <formula1>"Acero blanco,Plata 925,Acero inoxidable,Acero dorado,Boho Colection"</formula1>
      <formula2>0</formula2>
    </dataValidation>
    <dataValidation allowBlank="true" errorStyle="stop" operator="between" showDropDown="false" showErrorMessage="false" showInputMessage="false" sqref="C23:C116 C120:C147" type="list">
      <formula1>"Anillo,Collar,Aros,Pulsera"</formula1>
      <formula2>0</formula2>
    </dataValidation>
    <dataValidation allowBlank="true" errorStyle="stop" operator="between" showDropDown="false" showErrorMessage="true" showInputMessage="false" sqref="D23:D46 D48:D59 D61:D71 D73:D116 D120:D147" type="list">
      <formula1>"Docha,Blert,925 ARG,Cata Jewels,Utopias"</formula1>
      <formula2>0</formula2>
    </dataValidation>
  </dataValidations>
  <hyperlinks>
    <hyperlink ref="E23" r:id="rId1" display="Cubano N°0 "/>
    <hyperlink ref="E24" r:id="rId2" display="Cubano N°1"/>
    <hyperlink ref="E25" r:id="rId3" display="Cubano N°2"/>
    <hyperlink ref="E26" r:id="rId4" display="Cubano N°3"/>
    <hyperlink ref="E27" r:id="rId5" display="Cubano N°4"/>
    <hyperlink ref="E28" r:id="rId6" display="Mini susanita 2mm"/>
    <hyperlink ref="E29" r:id="rId7" display="Mini susanita 3mm"/>
    <hyperlink ref="E30" r:id="rId8" display="Cuadrado cubic 4mm"/>
    <hyperlink ref="E33" r:id="rId9" display="- "/>
    <hyperlink ref="E35" r:id="rId10" display="Anillo calado"/>
    <hyperlink ref="E36" r:id="rId11" display="https://dochajoyaspormayor.com.ar/tienda/john-caladito/"/>
    <hyperlink ref="E40" r:id="rId12" display="https://dochajoyaspormayor.com.ar/tienda/bolitas-en-v/"/>
    <hyperlink ref="E41" r:id="rId13" display="https://dochajoyaspormayor.com.ar/tienda/bolitas-en-v/"/>
    <hyperlink ref="E44" r:id="rId14" display="https://dochajoyaspormayor.com.ar/tienda/carterita-snail/"/>
    <hyperlink ref="E45" r:id="rId15" display="https://dochajoyaspormayor.com.ar/tienda/carteritas-torce/"/>
    <hyperlink ref="E46" r:id="rId16" display="https://dochajoyaspormayor.com.ar/tienda/carteritas-torce/"/>
    <hyperlink ref="E62" r:id="rId17" display="https://925arg.com/product.php?id=46433&amp;iddet=76647"/>
    <hyperlink ref="E63" r:id="rId18" display="https://925arg.com/product.php?id=46433&amp;iddet=76647"/>
    <hyperlink ref="E65" r:id="rId19" display="https://925arg.com/product.php?id=43711&amp;iddet=72660"/>
    <hyperlink ref="E66" r:id="rId20" display="https://925arg.com/product.php?id=50175&amp;iddet=81976"/>
    <hyperlink ref="E67" r:id="rId21" display="https://925arg.com/product.php?id=21231&amp;iddet=34524"/>
    <hyperlink ref="E68" r:id="rId22" display="https://925arg.com/product.php?id=1476&amp;iddet=1827"/>
    <hyperlink ref="E69" r:id="rId23" display="https://925arg.com/product.php?id=46642&amp;iddet=76952"/>
    <hyperlink ref="E70" r:id="rId24" display="https://925arg.com/product.php?id=13722&amp;iddet=19768"/>
    <hyperlink ref="E71" r:id="rId25" display="https://925arg.com/product.php?id=13722&amp;iddet=19768"/>
    <hyperlink ref="E73" r:id="rId26" display="https://catajewelsmayorista.com/products/anillo-eden-gold?variant=53793671709040&amp;sso=silent"/>
    <hyperlink ref="E74" r:id="rId27" display="https://catajewelsmayorista.com/products/anillo-eden-gold?variant=53793671709040&amp;sso=silent"/>
    <hyperlink ref="E76" r:id="rId28" display="https://catajewelsmayorista.com/products/collar-el-girasol?variant=54184174354800"/>
    <hyperlink ref="E79" r:id="rId29" display="https://catajewelsmayorista.com/products/aros-rosella-gold?variant=52784303604080"/>
    <hyperlink ref="E80" r:id="rId30" display="https://catajewelsmayorista.com/products/aros-mediterraneo?variant=52784305668464"/>
    <hyperlink ref="E81" r:id="rId31" display="https://catajewelsmayorista.com/products/aros-towers?variant=52784305045872"/>
    <hyperlink ref="E82" r:id="rId32" display="https://catajewelsmayorista.com/products/collar-marinero-silver-heart?variant=52721739399536"/>
    <hyperlink ref="E83" r:id="rId33" display="https://catajewelsmayorista.com/products/collar-marinero-silver-heart?variant=52721739399536"/>
    <hyperlink ref="E89" r:id="rId34" display="https://925arg.com/product.php?id=19594&amp;iddet=29783"/>
    <hyperlink ref="E90" r:id="rId35" display="https://925arg.com/product.php?id=6867&amp;iddet=8612"/>
    <hyperlink ref="E91" r:id="rId36" display="https://925arg.com/product.php?id=28569&amp;iddet=44953"/>
    <hyperlink ref="E92" r:id="rId37" display="https://925arg.com/product.php?id=19170&amp;iddet=28984"/>
    <hyperlink ref="E93" r:id="rId38" display="https://925arg.com/product.php?id=19170&amp;iddet=28984"/>
    <hyperlink ref="E95" r:id="rId39" display="https://925arg.com/product.php?id=46606&amp;iddet=76912 combo"/>
    <hyperlink ref="E96" r:id="rId40" display="https://925arg.com/product.php?id=46606&amp;iddet=76912"/>
    <hyperlink ref="E126" r:id="rId41" display="https://catajewelsmayorista.com/products/coll000070?variant=52561724211568"/>
    <hyperlink ref="E127" r:id="rId42" display="https://catajewelsmayorista.com/products/an00100?variant=52561725194608"/>
    <hyperlink ref="E128" r:id="rId43" display="anillo bolitas "/>
    <hyperlink ref="E131" r:id="rId44" display="https://catajewelsmayorista.com/products/pulsera-bolitas-gold?variant=52721740644720"/>
    <hyperlink ref="E132" r:id="rId45" display="https://catajewelsmayorista.com/products/pulsera-bolitas-gold?variant=52721740644720"/>
    <hyperlink ref="E137" r:id="rId46" display="https://catajewelsmayorista.com/products/collar-corazon-petite-silver?variant=5423242841329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.38"/>
    <col collapsed="false" customWidth="true" hidden="false" outlineLevel="0" max="2" min="2" style="0" width="26.26"/>
    <col collapsed="false" customWidth="true" hidden="false" outlineLevel="0" max="3" min="3" style="0" width="10.5"/>
    <col collapsed="false" customWidth="true" hidden="false" outlineLevel="0" max="4" min="4" style="0" width="8.75"/>
    <col collapsed="false" customWidth="true" hidden="false" outlineLevel="0" max="5" min="5" style="0" width="14"/>
    <col collapsed="false" customWidth="true" hidden="false" outlineLevel="0" max="6" min="6" style="0" width="12.25"/>
    <col collapsed="false" customWidth="true" hidden="false" outlineLevel="0" max="7" min="7" style="0" width="22.76"/>
    <col collapsed="false" customWidth="true" hidden="false" outlineLevel="0" max="26" min="8" style="0" width="7.63"/>
  </cols>
  <sheetData>
    <row r="1" customFormat="false" ht="17.35" hidden="false" customHeight="false" outlineLevel="0" collapsed="false">
      <c r="A1" s="38" t="s">
        <v>242</v>
      </c>
    </row>
    <row r="2" customFormat="false" ht="15" hidden="false" customHeight="false" outlineLevel="0" collapsed="false">
      <c r="A2" s="39" t="s">
        <v>243</v>
      </c>
    </row>
    <row r="3" customFormat="false" ht="15" hidden="false" customHeight="false" outlineLevel="0" collapsed="false">
      <c r="A3" s="39" t="s">
        <v>244</v>
      </c>
    </row>
    <row r="5" customFormat="false" ht="15" hidden="false" customHeight="false" outlineLevel="0" collapsed="false">
      <c r="A5" s="40" t="s">
        <v>245</v>
      </c>
      <c r="B5" s="40" t="s">
        <v>33</v>
      </c>
      <c r="C5" s="40" t="s">
        <v>246</v>
      </c>
      <c r="D5" s="40" t="s">
        <v>247</v>
      </c>
      <c r="E5" s="40" t="s">
        <v>248</v>
      </c>
      <c r="F5" s="40" t="s">
        <v>249</v>
      </c>
      <c r="G5" s="40" t="s">
        <v>250</v>
      </c>
    </row>
    <row r="6" customFormat="false" ht="15" hidden="false" customHeight="false" outlineLevel="0" collapsed="false">
      <c r="A6" s="41" t="n">
        <v>46244</v>
      </c>
      <c r="B6" s="42" t="s">
        <v>46</v>
      </c>
      <c r="C6" s="42" t="s">
        <v>251</v>
      </c>
      <c r="D6" s="43" t="n">
        <v>1</v>
      </c>
      <c r="E6" s="44"/>
      <c r="F6" s="45" t="n">
        <f aca="false">IF($B6="","",N($D6)*IF(N($E6)&gt;0,$E6,IFERROR(INDEX(Costos!$I$23:$I$300,MATCH($B6,Costos!$A$23:$A$300,0)),0)))</f>
        <v>3877.14032634033</v>
      </c>
      <c r="G6" s="42" t="s">
        <v>252</v>
      </c>
    </row>
    <row r="7" customFormat="false" ht="15" hidden="false" customHeight="false" outlineLevel="0" collapsed="false">
      <c r="A7" s="41" t="n">
        <v>46244</v>
      </c>
      <c r="B7" s="42" t="s">
        <v>52</v>
      </c>
      <c r="C7" s="42" t="s">
        <v>251</v>
      </c>
      <c r="D7" s="43" t="n">
        <v>1</v>
      </c>
      <c r="E7" s="44"/>
      <c r="F7" s="45" t="n">
        <f aca="false">IF($B7="","",N($D7)*IF(N($E7)&gt;0,$E7,IFERROR(INDEX(Costos!$I$23:$I$300,MATCH($B7,Costos!$A$23:$A$300,0)),0)))</f>
        <v>4381.14032634033</v>
      </c>
      <c r="G7" s="42" t="s">
        <v>252</v>
      </c>
    </row>
    <row r="8" customFormat="false" ht="15" hidden="false" customHeight="false" outlineLevel="0" collapsed="false">
      <c r="A8" s="41" t="n">
        <v>46244</v>
      </c>
      <c r="B8" s="42" t="s">
        <v>54</v>
      </c>
      <c r="C8" s="42" t="s">
        <v>251</v>
      </c>
      <c r="D8" s="43" t="n">
        <v>1</v>
      </c>
      <c r="E8" s="44"/>
      <c r="F8" s="45" t="n">
        <f aca="false">IF($B8="","",N($D8)*IF(N($E8)&gt;0,$E8,IFERROR(INDEX(Costos!$I$23:$I$300,MATCH($B8,Costos!$A$23:$A$300,0)),0)))</f>
        <v>4885.14032634033</v>
      </c>
      <c r="G8" s="42" t="s">
        <v>252</v>
      </c>
    </row>
    <row r="9" customFormat="false" ht="15" hidden="false" customHeight="false" outlineLevel="0" collapsed="false">
      <c r="A9" s="41" t="n">
        <v>46244</v>
      </c>
      <c r="B9" s="42" t="s">
        <v>56</v>
      </c>
      <c r="C9" s="42" t="s">
        <v>251</v>
      </c>
      <c r="D9" s="43" t="n">
        <v>1</v>
      </c>
      <c r="E9" s="44"/>
      <c r="F9" s="45" t="n">
        <f aca="false">IF($B9="","",N($D9)*IF(N($E9)&gt;0,$E9,IFERROR(INDEX(Costos!$I$23:$I$300,MATCH($B9,Costos!$A$23:$A$300,0)),0)))</f>
        <v>5389.14032634033</v>
      </c>
      <c r="G9" s="42" t="s">
        <v>252</v>
      </c>
    </row>
    <row r="10" customFormat="false" ht="15" hidden="false" customHeight="false" outlineLevel="0" collapsed="false">
      <c r="A10" s="41" t="n">
        <v>46244</v>
      </c>
      <c r="B10" s="42" t="s">
        <v>58</v>
      </c>
      <c r="C10" s="42" t="s">
        <v>251</v>
      </c>
      <c r="D10" s="43" t="n">
        <v>2</v>
      </c>
      <c r="E10" s="44"/>
      <c r="F10" s="45" t="n">
        <f aca="false">IF($B10="","",N($D10)*IF(N($E10)&gt;0,$E10,IFERROR(INDEX(Costos!$I$23:$I$300,MATCH($B10,Costos!$A$23:$A$300,0)),0)))</f>
        <v>11282.2806526807</v>
      </c>
      <c r="G10" s="42" t="s">
        <v>252</v>
      </c>
    </row>
    <row r="11" customFormat="false" ht="15" hidden="false" customHeight="false" outlineLevel="0" collapsed="false">
      <c r="A11" s="41" t="n">
        <v>46244</v>
      </c>
      <c r="B11" s="42" t="s">
        <v>60</v>
      </c>
      <c r="C11" s="42" t="s">
        <v>251</v>
      </c>
      <c r="D11" s="43" t="n">
        <v>1</v>
      </c>
      <c r="E11" s="44"/>
      <c r="F11" s="45" t="n">
        <f aca="false">IF($B11="","",N($D11)*IF(N($E11)&gt;0,$E11,IFERROR(INDEX(Costos!$I$23:$I$300,MATCH($B11,Costos!$A$23:$A$300,0)),0)))</f>
        <v>7076.64032634033</v>
      </c>
      <c r="G11" s="42" t="s">
        <v>252</v>
      </c>
    </row>
    <row r="12" customFormat="false" ht="15" hidden="false" customHeight="false" outlineLevel="0" collapsed="false">
      <c r="A12" s="41" t="n">
        <v>46244</v>
      </c>
      <c r="B12" s="42" t="s">
        <v>62</v>
      </c>
      <c r="C12" s="42" t="s">
        <v>251</v>
      </c>
      <c r="D12" s="43" t="n">
        <v>1</v>
      </c>
      <c r="E12" s="44"/>
      <c r="F12" s="45" t="n">
        <f aca="false">IF($B12="","",N($D12)*IF(N($E12)&gt;0,$E12,IFERROR(INDEX(Costos!$I$23:$I$300,MATCH($B12,Costos!$A$23:$A$300,0)),0)))</f>
        <v>7436.64032634033</v>
      </c>
      <c r="G12" s="42" t="s">
        <v>252</v>
      </c>
    </row>
    <row r="13" customFormat="false" ht="15" hidden="false" customHeight="false" outlineLevel="0" collapsed="false">
      <c r="A13" s="41" t="n">
        <v>46244</v>
      </c>
      <c r="B13" s="42" t="s">
        <v>64</v>
      </c>
      <c r="C13" s="42" t="s">
        <v>251</v>
      </c>
      <c r="D13" s="43" t="n">
        <v>1</v>
      </c>
      <c r="E13" s="44"/>
      <c r="F13" s="45" t="n">
        <f aca="false">IF($B13="","",N($D13)*IF(N($E13)&gt;0,$E13,IFERROR(INDEX(Costos!$I$23:$I$300,MATCH($B13,Costos!$A$23:$A$300,0)),0)))</f>
        <v>6959.64032634033</v>
      </c>
      <c r="G13" s="42" t="s">
        <v>252</v>
      </c>
    </row>
    <row r="14" customFormat="false" ht="15" hidden="false" customHeight="false" outlineLevel="0" collapsed="false">
      <c r="A14" s="41" t="n">
        <v>46244</v>
      </c>
      <c r="B14" s="42" t="s">
        <v>66</v>
      </c>
      <c r="C14" s="42" t="s">
        <v>251</v>
      </c>
      <c r="D14" s="43" t="n">
        <v>1</v>
      </c>
      <c r="E14" s="44"/>
      <c r="F14" s="45" t="n">
        <f aca="false">IF($B14="","",N($D14)*IF(N($E14)&gt;0,$E14,IFERROR(INDEX(Costos!$I$23:$I$300,MATCH($B14,Costos!$A$23:$A$300,0)),0)))</f>
        <v>18097.1403263403</v>
      </c>
      <c r="G14" s="42" t="s">
        <v>252</v>
      </c>
    </row>
    <row r="15" customFormat="false" ht="15" hidden="false" customHeight="false" outlineLevel="0" collapsed="false">
      <c r="A15" s="41" t="n">
        <v>46244</v>
      </c>
      <c r="B15" s="42" t="s">
        <v>131</v>
      </c>
      <c r="C15" s="42" t="s">
        <v>253</v>
      </c>
      <c r="D15" s="43" t="n">
        <v>1</v>
      </c>
      <c r="E15" s="44"/>
      <c r="F15" s="45" t="n">
        <f aca="false">IF($B15="","",N($D15)*IF(N($E15)&gt;0,$E15,IFERROR(INDEX(Costos!$I$23:$I$300,MATCH($B15,Costos!$A$23:$A$300,0)),0)))</f>
        <v>12916.6403263403</v>
      </c>
      <c r="G15" s="42" t="s">
        <v>252</v>
      </c>
    </row>
    <row r="16" customFormat="false" ht="15" hidden="false" customHeight="false" outlineLevel="0" collapsed="false">
      <c r="A16" s="41" t="n">
        <v>46244</v>
      </c>
      <c r="B16" s="42" t="s">
        <v>68</v>
      </c>
      <c r="C16" s="42" t="s">
        <v>254</v>
      </c>
      <c r="D16" s="43" t="n">
        <v>1</v>
      </c>
      <c r="E16" s="44"/>
      <c r="F16" s="45" t="n">
        <f aca="false">IF($B16="","",N($D16)*IF(N($E16)&gt;0,$E16,IFERROR(INDEX(Costos!$I$23:$I$300,MATCH($B16,Costos!$A$23:$A$300,0)),0)))</f>
        <v>8741.64032634033</v>
      </c>
      <c r="G16" s="42" t="s">
        <v>252</v>
      </c>
    </row>
    <row r="17" customFormat="false" ht="15" hidden="false" customHeight="false" outlineLevel="0" collapsed="false">
      <c r="A17" s="41" t="n">
        <v>46244</v>
      </c>
      <c r="B17" s="42" t="s">
        <v>68</v>
      </c>
      <c r="C17" s="42" t="s">
        <v>253</v>
      </c>
      <c r="D17" s="43" t="n">
        <v>1</v>
      </c>
      <c r="E17" s="44"/>
      <c r="F17" s="45" t="n">
        <f aca="false">IF($B17="","",N($D17)*IF(N($E17)&gt;0,$E17,IFERROR(INDEX(Costos!$I$23:$I$300,MATCH($B17,Costos!$A$23:$A$300,0)),0)))</f>
        <v>8741.64032634033</v>
      </c>
      <c r="G17" s="42" t="s">
        <v>252</v>
      </c>
    </row>
    <row r="18" customFormat="false" ht="15" hidden="false" customHeight="false" outlineLevel="0" collapsed="false">
      <c r="A18" s="41" t="n">
        <v>46244</v>
      </c>
      <c r="B18" s="42" t="s">
        <v>71</v>
      </c>
      <c r="C18" s="42" t="s">
        <v>253</v>
      </c>
      <c r="D18" s="43" t="n">
        <v>1</v>
      </c>
      <c r="E18" s="44"/>
      <c r="F18" s="45" t="n">
        <f aca="false">IF($B18="","",N($D18)*IF(N($E18)&gt;0,$E18,IFERROR(INDEX(Costos!$I$23:$I$300,MATCH($B18,Costos!$A$23:$A$300,0)),0)))</f>
        <v>14049.8403263403</v>
      </c>
      <c r="G18" s="42" t="s">
        <v>252</v>
      </c>
    </row>
    <row r="19" customFormat="false" ht="15" hidden="false" customHeight="false" outlineLevel="0" collapsed="false">
      <c r="A19" s="41" t="n">
        <v>46244</v>
      </c>
      <c r="B19" s="42" t="s">
        <v>72</v>
      </c>
      <c r="C19" s="42" t="s">
        <v>255</v>
      </c>
      <c r="D19" s="43" t="n">
        <v>1</v>
      </c>
      <c r="E19" s="44"/>
      <c r="F19" s="45" t="n">
        <f aca="false">IF($B19="","",N($D19)*IF(N($E19)&gt;0,$E19,IFERROR(INDEX(Costos!$I$23:$I$300,MATCH($B19,Costos!$A$23:$A$300,0)),0)))</f>
        <v>7166.64032634033</v>
      </c>
      <c r="G19" s="42" t="s">
        <v>252</v>
      </c>
    </row>
    <row r="20" customFormat="false" ht="15" hidden="false" customHeight="false" outlineLevel="0" collapsed="false">
      <c r="A20" s="41" t="n">
        <v>46244</v>
      </c>
      <c r="B20" s="42" t="s">
        <v>256</v>
      </c>
      <c r="C20" s="42" t="s">
        <v>253</v>
      </c>
      <c r="D20" s="43" t="n">
        <v>1</v>
      </c>
      <c r="E20" s="44"/>
      <c r="F20" s="45" t="n">
        <f aca="false">IF($B20="","",N($D20)*IF(N($E20)&gt;0,$E20,IFERROR(INDEX(Costos!$I$23:$I$300,MATCH($B20,Costos!$A$23:$A$300,0)),0)))</f>
        <v>11117.6403263403</v>
      </c>
      <c r="G20" s="42" t="s">
        <v>252</v>
      </c>
    </row>
    <row r="21" customFormat="false" ht="15.75" hidden="false" customHeight="true" outlineLevel="0" collapsed="false">
      <c r="A21" s="41" t="n">
        <v>46244</v>
      </c>
      <c r="B21" s="42" t="s">
        <v>256</v>
      </c>
      <c r="C21" s="42" t="s">
        <v>255</v>
      </c>
      <c r="D21" s="43" t="n">
        <v>1</v>
      </c>
      <c r="E21" s="44"/>
      <c r="F21" s="45" t="n">
        <f aca="false">IF($B21="","",N($D21)*IF(N($E21)&gt;0,$E21,IFERROR(INDEX(Costos!$I$23:$I$300,MATCH($B21,Costos!$A$23:$A$300,0)),0)))</f>
        <v>11117.6403263403</v>
      </c>
      <c r="G21" s="42" t="s">
        <v>252</v>
      </c>
    </row>
    <row r="22" customFormat="false" ht="15.75" hidden="false" customHeight="true" outlineLevel="0" collapsed="false">
      <c r="A22" s="41" t="n">
        <v>46244</v>
      </c>
      <c r="B22" s="42" t="s">
        <v>76</v>
      </c>
      <c r="C22" s="42" t="s">
        <v>251</v>
      </c>
      <c r="D22" s="43" t="n">
        <v>2</v>
      </c>
      <c r="E22" s="44"/>
      <c r="F22" s="45" t="n">
        <f aca="false">IF($B22="","",N($D22)*IF(N($E22)&gt;0,$E22,IFERROR(INDEX(Costos!$I$23:$I$300,MATCH($B22,Costos!$A$23:$A$300,0)),0)))</f>
        <v>9653.28065268065</v>
      </c>
      <c r="G22" s="42" t="s">
        <v>252</v>
      </c>
    </row>
    <row r="23" customFormat="false" ht="15.75" hidden="false" customHeight="true" outlineLevel="0" collapsed="false">
      <c r="A23" s="41" t="n">
        <v>46244</v>
      </c>
      <c r="B23" s="42" t="s">
        <v>80</v>
      </c>
      <c r="C23" s="42" t="s">
        <v>251</v>
      </c>
      <c r="D23" s="43" t="n">
        <v>2</v>
      </c>
      <c r="E23" s="44"/>
      <c r="F23" s="45" t="n">
        <f aca="false">IF($B23="","",N($D23)*IF(N($E23)&gt;0,$E23,IFERROR(INDEX(Costos!$I$23:$I$300,MATCH($B23,Costos!$A$23:$A$300,0)),0)))</f>
        <v>7493.28065268065</v>
      </c>
      <c r="G23" s="42" t="s">
        <v>252</v>
      </c>
    </row>
    <row r="24" customFormat="false" ht="15.75" hidden="false" customHeight="true" outlineLevel="0" collapsed="false">
      <c r="A24" s="41" t="n">
        <v>46244</v>
      </c>
      <c r="B24" s="42" t="s">
        <v>81</v>
      </c>
      <c r="C24" s="42" t="s">
        <v>251</v>
      </c>
      <c r="D24" s="43" t="n">
        <v>1</v>
      </c>
      <c r="E24" s="44"/>
      <c r="F24" s="45" t="n">
        <f aca="false">IF($B24="","",N($D24)*IF(N($E24)&gt;0,$E24,IFERROR(INDEX(Costos!$I$23:$I$300,MATCH($B24,Costos!$A$23:$A$300,0)),0)))</f>
        <v>4106.64032634033</v>
      </c>
      <c r="G24" s="42" t="s">
        <v>252</v>
      </c>
    </row>
    <row r="25" customFormat="false" ht="15.75" hidden="false" customHeight="true" outlineLevel="0" collapsed="false">
      <c r="A25" s="41" t="n">
        <v>46244</v>
      </c>
      <c r="B25" s="42" t="s">
        <v>82</v>
      </c>
      <c r="C25" s="42" t="s">
        <v>251</v>
      </c>
      <c r="D25" s="43" t="n">
        <v>2</v>
      </c>
      <c r="E25" s="44"/>
      <c r="F25" s="45" t="n">
        <f aca="false">IF($B25="","",N($D25)*IF(N($E25)&gt;0,$E25,IFERROR(INDEX(Costos!$I$23:$I$300,MATCH($B25,Costos!$A$23:$A$300,0)),0)))</f>
        <v>6773.28065268065</v>
      </c>
      <c r="G25" s="42" t="s">
        <v>252</v>
      </c>
    </row>
    <row r="26" customFormat="false" ht="15.75" hidden="false" customHeight="true" outlineLevel="0" collapsed="false">
      <c r="A26" s="41" t="n">
        <v>46244</v>
      </c>
      <c r="B26" s="42" t="s">
        <v>84</v>
      </c>
      <c r="C26" s="42" t="s">
        <v>251</v>
      </c>
      <c r="D26" s="43" t="n">
        <v>2</v>
      </c>
      <c r="E26" s="44"/>
      <c r="F26" s="45" t="n">
        <f aca="false">IF($B26="","",N($D26)*IF(N($E26)&gt;0,$E26,IFERROR(INDEX(Costos!$I$23:$I$300,MATCH($B26,Costos!$A$23:$A$300,0)),0)))</f>
        <v>6773.28065268065</v>
      </c>
      <c r="G26" s="42" t="s">
        <v>252</v>
      </c>
    </row>
    <row r="27" customFormat="false" ht="15.75" hidden="false" customHeight="true" outlineLevel="0" collapsed="false">
      <c r="A27" s="41" t="n">
        <v>46244</v>
      </c>
      <c r="B27" s="42" t="s">
        <v>86</v>
      </c>
      <c r="C27" s="42" t="s">
        <v>251</v>
      </c>
      <c r="D27" s="43" t="n">
        <v>2</v>
      </c>
      <c r="E27" s="44"/>
      <c r="F27" s="45" t="n">
        <f aca="false">IF($B27="","",N($D27)*IF(N($E27)&gt;0,$E27,IFERROR(INDEX(Costos!$I$23:$I$300,MATCH($B27,Costos!$A$23:$A$300,0)),0)))</f>
        <v>9653.28065268065</v>
      </c>
      <c r="G27" s="42" t="s">
        <v>252</v>
      </c>
    </row>
    <row r="28" customFormat="false" ht="15.75" hidden="false" customHeight="true" outlineLevel="0" collapsed="false">
      <c r="A28" s="41" t="n">
        <v>46244</v>
      </c>
      <c r="B28" s="42" t="s">
        <v>88</v>
      </c>
      <c r="C28" s="42" t="s">
        <v>251</v>
      </c>
      <c r="D28" s="43" t="n">
        <v>2</v>
      </c>
      <c r="E28" s="44"/>
      <c r="F28" s="45" t="n">
        <f aca="false">IF($B28="","",N($D28)*IF(N($E28)&gt;0,$E28,IFERROR(INDEX(Costos!$I$23:$I$300,MATCH($B28,Costos!$A$23:$A$300,0)),0)))</f>
        <v>7313.28065268065</v>
      </c>
      <c r="G28" s="42" t="s">
        <v>252</v>
      </c>
    </row>
    <row r="29" customFormat="false" ht="15.75" hidden="false" customHeight="true" outlineLevel="0" collapsed="false">
      <c r="A29" s="41" t="n">
        <v>46244</v>
      </c>
      <c r="B29" s="42" t="s">
        <v>90</v>
      </c>
      <c r="C29" s="42" t="s">
        <v>251</v>
      </c>
      <c r="D29" s="43" t="n">
        <v>1</v>
      </c>
      <c r="E29" s="44"/>
      <c r="F29" s="45" t="n">
        <f aca="false">IF($B29="","",N($D29)*IF(N($E29)&gt;0,$E29,IFERROR(INDEX(Costos!$I$23:$I$300,MATCH($B29,Costos!$A$23:$A$300,0)),0)))</f>
        <v>3296.64032634033</v>
      </c>
      <c r="G29" s="42" t="s">
        <v>252</v>
      </c>
    </row>
    <row r="30" customFormat="false" ht="15.75" hidden="false" customHeight="true" outlineLevel="0" collapsed="false">
      <c r="A30" s="41" t="n">
        <v>46244</v>
      </c>
      <c r="B30" s="42" t="s">
        <v>92</v>
      </c>
      <c r="C30" s="42" t="s">
        <v>251</v>
      </c>
      <c r="D30" s="43" t="n">
        <v>1</v>
      </c>
      <c r="E30" s="44"/>
      <c r="F30" s="45" t="n">
        <f aca="false">IF($B30="","",N($D30)*IF(N($E30)&gt;0,$E30,IFERROR(INDEX(Costos!$I$23:$I$300,MATCH($B30,Costos!$A$23:$A$300,0)),0)))</f>
        <v>3296.64032634033</v>
      </c>
      <c r="G30" s="42" t="s">
        <v>252</v>
      </c>
    </row>
    <row r="31" customFormat="false" ht="15.75" hidden="false" customHeight="true" outlineLevel="0" collapsed="false">
      <c r="A31" s="46" t="n">
        <v>46248</v>
      </c>
      <c r="B31" s="42" t="s">
        <v>94</v>
      </c>
      <c r="C31" s="42" t="s">
        <v>251</v>
      </c>
      <c r="D31" s="43" t="n">
        <v>1</v>
      </c>
      <c r="E31" s="44"/>
      <c r="F31" s="47" t="n">
        <f aca="false">IF($B31="","",N($D31)*IF(N($E31)&gt;0,$E31,IFERROR(INDEX(Costos!$I$23:$I$300,MATCH($B31,Costos!$A$23:$A$300,0)),0)))</f>
        <v>7816.64032634033</v>
      </c>
      <c r="G31" s="42" t="s">
        <v>257</v>
      </c>
    </row>
    <row r="32" customFormat="false" ht="15.75" hidden="false" customHeight="true" outlineLevel="0" collapsed="false">
      <c r="A32" s="46" t="n">
        <v>46248</v>
      </c>
      <c r="B32" s="42" t="s">
        <v>98</v>
      </c>
      <c r="C32" s="42" t="s">
        <v>251</v>
      </c>
      <c r="D32" s="43" t="n">
        <v>1</v>
      </c>
      <c r="E32" s="44"/>
      <c r="F32" s="47" t="n">
        <f aca="false">IF($B32="","",N($D32)*IF(N($E32)&gt;0,$E32,IFERROR(INDEX(Costos!$I$23:$I$300,MATCH($B32,Costos!$A$23:$A$300,0)),0)))</f>
        <v>5816.64032634033</v>
      </c>
      <c r="G32" s="42"/>
    </row>
    <row r="33" customFormat="false" ht="15.75" hidden="false" customHeight="true" outlineLevel="0" collapsed="false">
      <c r="A33" s="46" t="n">
        <v>46248</v>
      </c>
      <c r="B33" s="42" t="s">
        <v>99</v>
      </c>
      <c r="C33" s="42" t="s">
        <v>251</v>
      </c>
      <c r="D33" s="43" t="n">
        <v>1</v>
      </c>
      <c r="E33" s="44"/>
      <c r="F33" s="45" t="n">
        <f aca="false">IF($B33="","",N($D33)*IF(N($E33)&gt;0,$E33,IFERROR(INDEX(Costos!$I$23:$I$300,MATCH($B33,Costos!$A$23:$A$300,0)),0)))</f>
        <v>5816.64032634033</v>
      </c>
      <c r="G33" s="42"/>
    </row>
    <row r="34" customFormat="false" ht="15.75" hidden="false" customHeight="true" outlineLevel="0" collapsed="false">
      <c r="A34" s="46" t="n">
        <v>46248</v>
      </c>
      <c r="B34" s="42" t="s">
        <v>100</v>
      </c>
      <c r="C34" s="42" t="s">
        <v>251</v>
      </c>
      <c r="D34" s="43" t="n">
        <v>2</v>
      </c>
      <c r="E34" s="44"/>
      <c r="F34" s="45" t="n">
        <f aca="false">IF($B34="","",N($D34)*IF(N($E34)&gt;0,$E34,IFERROR(INDEX(Costos!$I$23:$I$300,MATCH($B34,Costos!$A$23:$A$300,0)),0)))</f>
        <v>15633.2806526807</v>
      </c>
      <c r="G34" s="42"/>
    </row>
    <row r="35" customFormat="false" ht="15.75" hidden="false" customHeight="true" outlineLevel="0" collapsed="false">
      <c r="A35" s="46" t="n">
        <v>46248</v>
      </c>
      <c r="B35" s="42" t="s">
        <v>102</v>
      </c>
      <c r="C35" s="42" t="s">
        <v>251</v>
      </c>
      <c r="D35" s="43" t="n">
        <v>2</v>
      </c>
      <c r="E35" s="44"/>
      <c r="F35" s="45" t="n">
        <f aca="false">IF($B35="","",N($D35)*IF(N($E35)&gt;0,$E35,IFERROR(INDEX(Costos!$I$23:$I$300,MATCH($B35,Costos!$A$23:$A$300,0)),0)))</f>
        <v>13633.2806526807</v>
      </c>
      <c r="G35" s="42"/>
    </row>
    <row r="36" customFormat="false" ht="15.75" hidden="false" customHeight="true" outlineLevel="0" collapsed="false">
      <c r="A36" s="46" t="n">
        <v>46248</v>
      </c>
      <c r="B36" s="42" t="s">
        <v>104</v>
      </c>
      <c r="C36" s="42" t="s">
        <v>251</v>
      </c>
      <c r="D36" s="43" t="n">
        <v>2</v>
      </c>
      <c r="E36" s="44"/>
      <c r="F36" s="45" t="n">
        <f aca="false">IF($B36="","",N($D36)*IF(N($E36)&gt;0,$E36,IFERROR(INDEX(Costos!$I$23:$I$300,MATCH($B36,Costos!$A$23:$A$300,0)),0)))</f>
        <v>11633.2806526807</v>
      </c>
      <c r="G36" s="42"/>
    </row>
    <row r="37" customFormat="false" ht="15.75" hidden="false" customHeight="true" outlineLevel="0" collapsed="false">
      <c r="A37" s="46" t="n">
        <v>46248</v>
      </c>
      <c r="B37" s="42" t="s">
        <v>105</v>
      </c>
      <c r="C37" s="42" t="s">
        <v>251</v>
      </c>
      <c r="D37" s="43" t="n">
        <v>2</v>
      </c>
      <c r="E37" s="44"/>
      <c r="F37" s="45" t="n">
        <f aca="false">IF($B37="","",N($D37)*IF(N($E37)&gt;0,$E37,IFERROR(INDEX(Costos!$I$23:$I$300,MATCH($B37,Costos!$A$23:$A$300,0)),0)))</f>
        <v>15633.2806526807</v>
      </c>
      <c r="G37" s="42"/>
    </row>
    <row r="38" customFormat="false" ht="15.75" hidden="false" customHeight="true" outlineLevel="0" collapsed="false">
      <c r="A38" s="46" t="n">
        <v>46248</v>
      </c>
      <c r="B38" s="42" t="s">
        <v>107</v>
      </c>
      <c r="C38" s="42" t="s">
        <v>251</v>
      </c>
      <c r="D38" s="43" t="n">
        <v>2</v>
      </c>
      <c r="E38" s="44"/>
      <c r="F38" s="45" t="n">
        <f aca="false">IF($B38="","",N($D38)*IF(N($E38)&gt;0,$E38,IFERROR(INDEX(Costos!$I$23:$I$300,MATCH($B38,Costos!$A$23:$A$300,0)),0)))</f>
        <v>11633.2806526807</v>
      </c>
      <c r="G38" s="42"/>
    </row>
    <row r="39" customFormat="false" ht="15.75" hidden="false" customHeight="true" outlineLevel="0" collapsed="false">
      <c r="A39" s="46" t="n">
        <v>46249</v>
      </c>
      <c r="B39" s="42" t="s">
        <v>109</v>
      </c>
      <c r="C39" s="42" t="s">
        <v>251</v>
      </c>
      <c r="D39" s="43" t="n">
        <v>2</v>
      </c>
      <c r="E39" s="44"/>
      <c r="F39" s="45" t="n">
        <f aca="false">IF($B39="","",N($D39)*IF(N($E39)&gt;0,$E39,IFERROR(INDEX(Costos!$I$23:$I$300,MATCH($B39,Costos!$A$23:$A$300,0)),0)))</f>
        <v>11633.2806526807</v>
      </c>
      <c r="G39" s="42"/>
    </row>
    <row r="40" customFormat="false" ht="15.75" hidden="false" customHeight="true" outlineLevel="0" collapsed="false">
      <c r="A40" s="46" t="n">
        <v>46250</v>
      </c>
      <c r="B40" s="42" t="s">
        <v>111</v>
      </c>
      <c r="C40" s="42" t="s">
        <v>251</v>
      </c>
      <c r="D40" s="43" t="n">
        <v>1</v>
      </c>
      <c r="E40" s="44"/>
      <c r="F40" s="45" t="n">
        <f aca="false">IF($B40="","",N($D40)*IF(N($E40)&gt;0,$E40,IFERROR(INDEX(Costos!$I$23:$I$300,MATCH($B40,Costos!$A$23:$A$300,0)),0)))</f>
        <v>5816.64032634033</v>
      </c>
      <c r="G40" s="42"/>
    </row>
    <row r="41" customFormat="false" ht="15.75" hidden="false" customHeight="true" outlineLevel="0" collapsed="false">
      <c r="A41" s="46" t="n">
        <v>46251</v>
      </c>
      <c r="B41" s="42" t="s">
        <v>113</v>
      </c>
      <c r="C41" s="42" t="s">
        <v>251</v>
      </c>
      <c r="D41" s="43" t="n">
        <v>2</v>
      </c>
      <c r="E41" s="44"/>
      <c r="F41" s="45" t="n">
        <f aca="false">IF($B41="","",N($D41)*IF(N($E41)&gt;0,$E41,IFERROR(INDEX(Costos!$I$23:$I$300,MATCH($B41,Costos!$A$23:$A$300,0)),0)))</f>
        <v>15633.2806526807</v>
      </c>
      <c r="G41" s="42"/>
    </row>
    <row r="42" customFormat="false" ht="15.75" hidden="false" customHeight="true" outlineLevel="0" collapsed="false">
      <c r="A42" s="41" t="n">
        <v>46251</v>
      </c>
      <c r="B42" s="42" t="s">
        <v>115</v>
      </c>
      <c r="C42" s="42" t="s">
        <v>251</v>
      </c>
      <c r="D42" s="43" t="n">
        <v>2</v>
      </c>
      <c r="E42" s="44"/>
      <c r="F42" s="45" t="n">
        <f aca="false">IF($B42="","",N($D42)*IF(N($E42)&gt;0,$E42,IFERROR(INDEX(Costos!$I$23:$I$300,MATCH($B42,Costos!$A$23:$A$300,0)),0)))</f>
        <v>13633.2806526807</v>
      </c>
      <c r="G42" s="42"/>
    </row>
    <row r="43" customFormat="false" ht="15.75" hidden="false" customHeight="true" outlineLevel="0" collapsed="false">
      <c r="A43" s="41" t="n">
        <v>46244</v>
      </c>
      <c r="B43" s="42" t="s">
        <v>87</v>
      </c>
      <c r="C43" s="42" t="s">
        <v>251</v>
      </c>
      <c r="D43" s="43" t="n">
        <v>1</v>
      </c>
      <c r="E43" s="44"/>
      <c r="F43" s="45" t="n">
        <f aca="false">IF($B43="","",N($D43)*IF(N($E43)&gt;0,$E43,IFERROR(INDEX(Costos!$I$23:$I$300,MATCH($B43,Costos!$A$23:$A$300,0)),0)))</f>
        <v>4106.64032634033</v>
      </c>
      <c r="G43" s="42"/>
    </row>
    <row r="44" customFormat="false" ht="15.75" hidden="false" customHeight="true" outlineLevel="0" collapsed="false">
      <c r="A44" s="41"/>
      <c r="B44" s="42"/>
      <c r="C44" s="42"/>
      <c r="D44" s="43"/>
      <c r="E44" s="44"/>
      <c r="F44" s="45" t="str">
        <f aca="false">IF($B44="","",N($D44)*IF(N($E44)&gt;0,$E44,IFERROR(INDEX(Costos!$I$23:$I$300,MATCH($B44,Costos!$A$23:$A$300,0)),0)))</f>
        <v/>
      </c>
      <c r="G44" s="42"/>
    </row>
    <row r="45" customFormat="false" ht="15.75" hidden="false" customHeight="true" outlineLevel="0" collapsed="false">
      <c r="A45" s="41" t="n">
        <v>46258</v>
      </c>
      <c r="B45" s="42" t="s">
        <v>117</v>
      </c>
      <c r="C45" s="42" t="s">
        <v>251</v>
      </c>
      <c r="D45" s="43" t="n">
        <v>2</v>
      </c>
      <c r="E45" s="44"/>
      <c r="F45" s="45" t="n">
        <f aca="false">IF($B45="","",N($D45)*IF(N($E45)&gt;0,$E45,IFERROR(INDEX(Costos!$I$23:$I$300,MATCH($B45,Costos!$A$23:$A$300,0)),0)))</f>
        <v>9733.28065268065</v>
      </c>
      <c r="G45" s="42"/>
    </row>
    <row r="46" customFormat="false" ht="15.75" hidden="false" customHeight="true" outlineLevel="0" collapsed="false">
      <c r="A46" s="41" t="n">
        <v>46258</v>
      </c>
      <c r="B46" s="42" t="s">
        <v>120</v>
      </c>
      <c r="C46" s="42" t="s">
        <v>251</v>
      </c>
      <c r="D46" s="43" t="n">
        <v>2</v>
      </c>
      <c r="E46" s="44"/>
      <c r="F46" s="45" t="n">
        <f aca="false">IF($B46="","",N($D46)*IF(N($E46)&gt;0,$E46,IFERROR(INDEX(Costos!$I$23:$I$300,MATCH($B46,Costos!$A$23:$A$300,0)),0)))</f>
        <v>29633.2806526807</v>
      </c>
      <c r="G46" s="42"/>
    </row>
    <row r="47" customFormat="false" ht="15.75" hidden="false" customHeight="true" outlineLevel="0" collapsed="false">
      <c r="A47" s="41" t="n">
        <v>46258</v>
      </c>
      <c r="B47" s="42" t="s">
        <v>122</v>
      </c>
      <c r="C47" s="42" t="s">
        <v>251</v>
      </c>
      <c r="D47" s="43" t="n">
        <v>1</v>
      </c>
      <c r="E47" s="44"/>
      <c r="F47" s="45" t="n">
        <f aca="false">IF($B47="","",N($D47)*IF(N($E47)&gt;0,$E47,IFERROR(INDEX(Costos!$I$23:$I$300,MATCH($B47,Costos!$A$23:$A$300,0)),0)))</f>
        <v>16866.6403263403</v>
      </c>
      <c r="G47" s="42"/>
    </row>
    <row r="48" customFormat="false" ht="15.75" hidden="false" customHeight="true" outlineLevel="0" collapsed="false">
      <c r="A48" s="41" t="n">
        <v>46258</v>
      </c>
      <c r="B48" s="42" t="s">
        <v>124</v>
      </c>
      <c r="C48" s="42" t="s">
        <v>251</v>
      </c>
      <c r="D48" s="43" t="n">
        <v>2</v>
      </c>
      <c r="E48" s="44"/>
      <c r="F48" s="45" t="n">
        <f aca="false">IF($B48="","",N($D48)*IF(N($E48)&gt;0,$E48,IFERROR(INDEX(Costos!$I$23:$I$300,MATCH($B48,Costos!$A$23:$A$300,0)),0)))</f>
        <v>6533.28065268065</v>
      </c>
      <c r="G48" s="42"/>
    </row>
    <row r="49" customFormat="false" ht="15.75" hidden="false" customHeight="true" outlineLevel="0" collapsed="false">
      <c r="A49" s="41" t="n">
        <v>46258</v>
      </c>
      <c r="B49" s="42" t="s">
        <v>125</v>
      </c>
      <c r="C49" s="42" t="s">
        <v>251</v>
      </c>
      <c r="D49" s="43" t="n">
        <v>1</v>
      </c>
      <c r="E49" s="44"/>
      <c r="F49" s="45" t="n">
        <f aca="false">IF($B49="","",N($D49)*IF(N($E49)&gt;0,$E49,IFERROR(INDEX(Costos!$I$23:$I$300,MATCH($B49,Costos!$A$23:$A$300,0)),0)))</f>
        <v>15066.6403263403</v>
      </c>
      <c r="G49" s="42"/>
    </row>
    <row r="50" customFormat="false" ht="15.75" hidden="false" customHeight="true" outlineLevel="0" collapsed="false">
      <c r="A50" s="41" t="n">
        <v>46258</v>
      </c>
      <c r="B50" s="42" t="s">
        <v>127</v>
      </c>
      <c r="C50" s="42" t="s">
        <v>251</v>
      </c>
      <c r="D50" s="43" t="n">
        <v>1</v>
      </c>
      <c r="E50" s="44"/>
      <c r="F50" s="45" t="n">
        <f aca="false">IF($B50="","",N($D50)*IF(N($E50)&gt;0,$E50,IFERROR(INDEX(Costos!$I$23:$I$300,MATCH($B50,Costos!$A$23:$A$300,0)),0)))</f>
        <v>16716.6403263403</v>
      </c>
      <c r="G50" s="42"/>
    </row>
    <row r="51" customFormat="false" ht="15.75" hidden="false" customHeight="true" outlineLevel="0" collapsed="false">
      <c r="A51" s="41" t="n">
        <v>46258</v>
      </c>
      <c r="B51" s="42" t="s">
        <v>129</v>
      </c>
      <c r="C51" s="42" t="s">
        <v>251</v>
      </c>
      <c r="D51" s="43" t="n">
        <v>1</v>
      </c>
      <c r="E51" s="44"/>
      <c r="F51" s="45" t="n">
        <f aca="false">IF($B51="","",N($D51)*IF(N($E51)&gt;0,$E51,IFERROR(INDEX(Costos!$I$23:$I$300,MATCH($B51,Costos!$A$23:$A$300,0)),0)))</f>
        <v>18266.6403263403</v>
      </c>
      <c r="G51" s="42"/>
    </row>
    <row r="52" customFormat="false" ht="15.75" hidden="false" customHeight="true" outlineLevel="0" collapsed="false">
      <c r="A52" s="41" t="n">
        <v>46258</v>
      </c>
      <c r="B52" s="42" t="s">
        <v>133</v>
      </c>
      <c r="C52" s="42" t="s">
        <v>251</v>
      </c>
      <c r="D52" s="43" t="n">
        <v>1</v>
      </c>
      <c r="E52" s="44"/>
      <c r="F52" s="45" t="n">
        <f aca="false">IF($B52="","",N($D52)*IF(N($E52)&gt;0,$E52,IFERROR(INDEX(Costos!$I$23:$I$300,MATCH($B52,Costos!$A$23:$A$300,0)),0)))</f>
        <v>18566.6403263403</v>
      </c>
      <c r="G52" s="42"/>
    </row>
    <row r="53" customFormat="false" ht="15.75" hidden="false" customHeight="true" outlineLevel="0" collapsed="false">
      <c r="A53" s="41" t="n">
        <v>46258</v>
      </c>
      <c r="B53" s="42" t="s">
        <v>135</v>
      </c>
      <c r="C53" s="42" t="s">
        <v>251</v>
      </c>
      <c r="D53" s="43" t="n">
        <v>1</v>
      </c>
      <c r="E53" s="44"/>
      <c r="F53" s="45" t="n">
        <f aca="false">IF($B53="","",N($D53)*IF(N($E53)&gt;0,$E53,IFERROR(INDEX(Costos!$I$23:$I$300,MATCH($B53,Costos!$A$23:$A$300,0)),0)))</f>
        <v>19466.6403263403</v>
      </c>
      <c r="G53" s="42"/>
    </row>
    <row r="54" customFormat="false" ht="15.75" hidden="false" customHeight="true" outlineLevel="0" collapsed="false">
      <c r="A54" s="41" t="n">
        <v>46258</v>
      </c>
      <c r="B54" s="42" t="s">
        <v>137</v>
      </c>
      <c r="C54" s="42" t="s">
        <v>251</v>
      </c>
      <c r="D54" s="43" t="n">
        <v>1</v>
      </c>
      <c r="E54" s="44"/>
      <c r="F54" s="45" t="n">
        <f aca="false">IF($B54="","",N($D54)*IF(N($E54)&gt;0,$E54,IFERROR(INDEX(Costos!$I$23:$I$300,MATCH($B54,Costos!$A$23:$A$300,0)),0)))</f>
        <v>18916.6403263403</v>
      </c>
      <c r="G54" s="42"/>
    </row>
    <row r="55" customFormat="false" ht="15.75" hidden="false" customHeight="true" outlineLevel="0" collapsed="false">
      <c r="A55" s="41" t="n">
        <v>46258</v>
      </c>
      <c r="B55" s="42" t="s">
        <v>131</v>
      </c>
      <c r="C55" s="42" t="s">
        <v>253</v>
      </c>
      <c r="D55" s="43" t="n">
        <v>2</v>
      </c>
      <c r="E55" s="44"/>
      <c r="F55" s="45" t="n">
        <f aca="false">IF($B55="","",N($D55)*IF(N($E55)&gt;0,$E55,IFERROR(INDEX(Costos!$I$23:$I$300,MATCH($B55,Costos!$A$23:$A$300,0)),0)))</f>
        <v>25833.2806526807</v>
      </c>
      <c r="G55" s="42"/>
    </row>
    <row r="56" customFormat="false" ht="15.75" hidden="false" customHeight="true" outlineLevel="0" collapsed="false">
      <c r="A56" s="41"/>
      <c r="B56" s="42"/>
      <c r="C56" s="42"/>
      <c r="D56" s="43"/>
      <c r="E56" s="44"/>
      <c r="F56" s="45" t="str">
        <f aca="false">IF($B56="","",N($D56)*IF(N($E56)&gt;0,$E56,IFERROR(INDEX(Costos!$I$23:$I$300,MATCH($B56,Costos!$A$23:$A$300,0)),0)))</f>
        <v/>
      </c>
      <c r="G56" s="42"/>
    </row>
    <row r="57" customFormat="false" ht="15.75" hidden="false" customHeight="true" outlineLevel="0" collapsed="false">
      <c r="A57" s="41" t="n">
        <v>46262</v>
      </c>
      <c r="B57" s="42" t="s">
        <v>139</v>
      </c>
      <c r="C57" s="42" t="s">
        <v>254</v>
      </c>
      <c r="D57" s="43" t="n">
        <v>1</v>
      </c>
      <c r="E57" s="44"/>
      <c r="F57" s="45" t="n">
        <f aca="false">IF($B57="","",N($D57)*IF(N($E57)&gt;0,$E57,IFERROR(INDEX(Costos!$I$23:$I$300,MATCH($B57,Costos!$A$23:$A$300,0)),0)))</f>
        <v>9740.64032634033</v>
      </c>
      <c r="G57" s="42"/>
    </row>
    <row r="58" customFormat="false" ht="15.75" hidden="false" customHeight="true" outlineLevel="0" collapsed="false">
      <c r="A58" s="41" t="n">
        <v>46262</v>
      </c>
      <c r="B58" s="42" t="s">
        <v>139</v>
      </c>
      <c r="C58" s="42" t="s">
        <v>253</v>
      </c>
      <c r="D58" s="43" t="n">
        <v>1</v>
      </c>
      <c r="E58" s="44"/>
      <c r="F58" s="45" t="n">
        <f aca="false">IF($B58="","",N($D58)*IF(N($E58)&gt;0,$E58,IFERROR(INDEX(Costos!$I$23:$I$300,MATCH($B58,Costos!$A$23:$A$300,0)),0)))</f>
        <v>9740.64032634033</v>
      </c>
      <c r="G58" s="42"/>
    </row>
    <row r="59" customFormat="false" ht="15.75" hidden="false" customHeight="true" outlineLevel="0" collapsed="false">
      <c r="A59" s="41" t="n">
        <v>46262</v>
      </c>
      <c r="B59" s="42" t="s">
        <v>143</v>
      </c>
      <c r="C59" s="42" t="s">
        <v>251</v>
      </c>
      <c r="D59" s="43" t="n">
        <v>3</v>
      </c>
      <c r="E59" s="44"/>
      <c r="F59" s="45" t="n">
        <f aca="false">IF($B59="","",N($D59)*IF(N($E59)&gt;0,$E59,IFERROR(INDEX(Costos!$I$23:$I$300,MATCH($B59,Costos!$A$23:$A$300,0)),0)))</f>
        <v>14572.920979021</v>
      </c>
      <c r="G59" s="42"/>
    </row>
    <row r="60" customFormat="false" ht="15.75" hidden="false" customHeight="true" outlineLevel="0" collapsed="false">
      <c r="A60" s="41" t="n">
        <v>46262</v>
      </c>
      <c r="B60" s="42" t="s">
        <v>145</v>
      </c>
      <c r="C60" s="42" t="s">
        <v>251</v>
      </c>
      <c r="D60" s="43" t="n">
        <v>2</v>
      </c>
      <c r="E60" s="44"/>
      <c r="F60" s="45" t="n">
        <f aca="false">IF($B60="","",N($D60)*IF(N($E60)&gt;0,$E60,IFERROR(INDEX(Costos!$I$23:$I$300,MATCH($B60,Costos!$A$23:$A$300,0)),0)))</f>
        <v>7839.28065268065</v>
      </c>
      <c r="G60" s="42"/>
    </row>
    <row r="61" customFormat="false" ht="15.75" hidden="false" customHeight="true" outlineLevel="0" collapsed="false">
      <c r="A61" s="41" t="n">
        <v>46262</v>
      </c>
      <c r="B61" s="42" t="s">
        <v>146</v>
      </c>
      <c r="C61" s="42" t="s">
        <v>251</v>
      </c>
      <c r="D61" s="43" t="n">
        <v>2</v>
      </c>
      <c r="E61" s="44"/>
      <c r="F61" s="45" t="n">
        <f aca="false">IF($B61="","",N($D61)*IF(N($E61)&gt;0,$E61,IFERROR(INDEX(Costos!$I$23:$I$300,MATCH($B61,Costos!$A$23:$A$300,0)),0)))</f>
        <v>8387.28065268065</v>
      </c>
      <c r="G61" s="42"/>
    </row>
    <row r="62" customFormat="false" ht="15.75" hidden="false" customHeight="true" outlineLevel="0" collapsed="false">
      <c r="A62" s="41" t="n">
        <v>46262</v>
      </c>
      <c r="B62" s="42" t="s">
        <v>148</v>
      </c>
      <c r="C62" s="42" t="s">
        <v>251</v>
      </c>
      <c r="D62" s="43" t="n">
        <v>1</v>
      </c>
      <c r="E62" s="44"/>
      <c r="F62" s="45" t="n">
        <f aca="false">IF($B62="","",N($D62)*IF(N($E62)&gt;0,$E62,IFERROR(INDEX(Costos!$I$23:$I$300,MATCH($B62,Costos!$A$23:$A$300,0)),0)))</f>
        <v>10911.6403263403</v>
      </c>
      <c r="G62" s="42"/>
    </row>
    <row r="63" customFormat="false" ht="15.75" hidden="false" customHeight="true" outlineLevel="0" collapsed="false">
      <c r="A63" s="41" t="n">
        <v>46262</v>
      </c>
      <c r="B63" s="42" t="s">
        <v>150</v>
      </c>
      <c r="C63" s="42" t="s">
        <v>251</v>
      </c>
      <c r="D63" s="43" t="n">
        <v>1</v>
      </c>
      <c r="E63" s="44"/>
      <c r="F63" s="45" t="n">
        <f aca="false">IF($B63="","",N($D63)*IF(N($E63)&gt;0,$E63,IFERROR(INDEX(Costos!$I$23:$I$300,MATCH($B63,Costos!$A$23:$A$300,0)),0)))</f>
        <v>11741.6403263403</v>
      </c>
      <c r="G63" s="42"/>
    </row>
    <row r="64" customFormat="false" ht="15.75" hidden="false" customHeight="true" outlineLevel="0" collapsed="false">
      <c r="A64" s="41" t="n">
        <v>46262</v>
      </c>
      <c r="B64" s="42" t="s">
        <v>152</v>
      </c>
      <c r="C64" s="42" t="s">
        <v>251</v>
      </c>
      <c r="D64" s="43" t="n">
        <v>1</v>
      </c>
      <c r="E64" s="44"/>
      <c r="F64" s="45" t="n">
        <f aca="false">IF($B64="","",N($D64)*IF(N($E64)&gt;0,$E64,IFERROR(INDEX(Costos!$I$23:$I$300,MATCH($B64,Costos!$A$23:$A$300,0)),0)))</f>
        <v>8964.64032634033</v>
      </c>
      <c r="G64" s="42"/>
    </row>
    <row r="65" customFormat="false" ht="15.75" hidden="false" customHeight="true" outlineLevel="0" collapsed="false">
      <c r="A65" s="41" t="n">
        <v>46262</v>
      </c>
      <c r="B65" s="42" t="s">
        <v>154</v>
      </c>
      <c r="C65" s="42" t="s">
        <v>251</v>
      </c>
      <c r="D65" s="43" t="n">
        <v>1</v>
      </c>
      <c r="E65" s="44"/>
      <c r="F65" s="45" t="n">
        <f aca="false">IF($B65="","",N($D65)*IF(N($E65)&gt;0,$E65,IFERROR(INDEX(Costos!$I$23:$I$300,MATCH($B65,Costos!$A$23:$A$300,0)),0)))</f>
        <v>8598.64032634033</v>
      </c>
      <c r="G65" s="42"/>
    </row>
    <row r="66" customFormat="false" ht="15.75" hidden="false" customHeight="true" outlineLevel="0" collapsed="false">
      <c r="A66" s="41" t="n">
        <v>46262</v>
      </c>
      <c r="B66" s="42" t="s">
        <v>156</v>
      </c>
      <c r="C66" s="42" t="s">
        <v>251</v>
      </c>
      <c r="D66" s="43" t="n">
        <v>1</v>
      </c>
      <c r="E66" s="44"/>
      <c r="F66" s="45" t="n">
        <f aca="false">IF($B66="","",N($D66)*IF(N($E66)&gt;0,$E66,IFERROR(INDEX(Costos!$I$23:$I$300,MATCH($B66,Costos!$A$23:$A$300,0)),0)))</f>
        <v>7092.64032634033</v>
      </c>
      <c r="G66" s="42"/>
    </row>
    <row r="67" customFormat="false" ht="15.75" hidden="false" customHeight="true" outlineLevel="0" collapsed="false">
      <c r="A67" s="41" t="n">
        <v>46262</v>
      </c>
      <c r="B67" s="42" t="s">
        <v>158</v>
      </c>
      <c r="C67" s="42" t="s">
        <v>251</v>
      </c>
      <c r="D67" s="43" t="n">
        <v>1</v>
      </c>
      <c r="E67" s="44"/>
      <c r="F67" s="45" t="n">
        <f aca="false">IF($B67="","",N($D67)*IF(N($E67)&gt;0,$E67,IFERROR(INDEX(Costos!$I$23:$I$300,MATCH($B67,Costos!$A$23:$A$300,0)),0)))</f>
        <v>7199.64032634033</v>
      </c>
      <c r="G67" s="42"/>
    </row>
    <row r="68" customFormat="false" ht="15.75" hidden="false" customHeight="true" outlineLevel="0" collapsed="false">
      <c r="A68" s="41" t="n">
        <v>46262</v>
      </c>
      <c r="B68" s="42" t="s">
        <v>160</v>
      </c>
      <c r="C68" s="42" t="s">
        <v>251</v>
      </c>
      <c r="D68" s="43" t="n">
        <v>2</v>
      </c>
      <c r="E68" s="44"/>
      <c r="F68" s="45" t="n">
        <f aca="false">IF($B68="","",N($D68)*IF(N($E68)&gt;0,$E68,IFERROR(INDEX(Costos!$I$23:$I$300,MATCH($B68,Costos!$A$23:$A$300,0)),0)))</f>
        <v>13453.2806526807</v>
      </c>
      <c r="G68" s="42"/>
    </row>
    <row r="69" customFormat="false" ht="15.75" hidden="false" customHeight="true" outlineLevel="0" collapsed="false">
      <c r="A69" s="41" t="n">
        <v>46262</v>
      </c>
      <c r="B69" s="42" t="s">
        <v>162</v>
      </c>
      <c r="C69" s="42" t="s">
        <v>251</v>
      </c>
      <c r="D69" s="43" t="n">
        <v>2</v>
      </c>
      <c r="E69" s="44"/>
      <c r="F69" s="45" t="n">
        <f aca="false">IF($B69="","",N($D69)*IF(N($E69)&gt;0,$E69,IFERROR(INDEX(Costos!$I$23:$I$300,MATCH($B69,Costos!$A$23:$A$300,0)),0)))</f>
        <v>6047.28065268065</v>
      </c>
      <c r="G69" s="42"/>
    </row>
    <row r="70" customFormat="false" ht="15.75" hidden="false" customHeight="true" outlineLevel="0" collapsed="false">
      <c r="A70" s="41" t="n">
        <v>46262</v>
      </c>
      <c r="B70" s="42" t="s">
        <v>163</v>
      </c>
      <c r="C70" s="42" t="s">
        <v>251</v>
      </c>
      <c r="D70" s="43" t="n">
        <v>2</v>
      </c>
      <c r="E70" s="44"/>
      <c r="F70" s="45" t="n">
        <f aca="false">IF($B70="","",N($D70)*IF(N($E70)&gt;0,$E70,IFERROR(INDEX(Costos!$I$23:$I$300,MATCH($B70,Costos!$A$23:$A$300,0)),0)))</f>
        <v>6047.28065268065</v>
      </c>
      <c r="G70" s="42"/>
    </row>
    <row r="71" customFormat="false" ht="15.75" hidden="false" customHeight="true" outlineLevel="0" collapsed="false">
      <c r="A71" s="41"/>
      <c r="B71" s="42"/>
      <c r="C71" s="42"/>
      <c r="D71" s="43"/>
      <c r="E71" s="44"/>
      <c r="F71" s="45" t="str">
        <f aca="false">IF($B71="","",N($D71)*IF(N($E71)&gt;0,$E71,IFERROR(INDEX(Costos!$I$23:$I$300,MATCH($B71,Costos!$A$23:$A$300,0)),0)))</f>
        <v/>
      </c>
      <c r="G71" s="42"/>
    </row>
    <row r="72" customFormat="false" ht="15.75" hidden="false" customHeight="true" outlineLevel="0" collapsed="false">
      <c r="A72" s="41" t="n">
        <v>46268</v>
      </c>
      <c r="B72" s="42" t="s">
        <v>164</v>
      </c>
      <c r="C72" s="42" t="s">
        <v>251</v>
      </c>
      <c r="D72" s="43" t="n">
        <v>2</v>
      </c>
      <c r="E72" s="44"/>
      <c r="F72" s="45" t="n">
        <f aca="false">IF($B72="","",N($D72)*IF(N($E72)&gt;0,$E72,IFERROR(INDEX(Costos!$I$23:$I$300,MATCH($B72,Costos!$A$23:$A$300,0)),0)))</f>
        <v>30133.2806526807</v>
      </c>
      <c r="G72" s="42"/>
    </row>
    <row r="73" customFormat="false" ht="15.75" hidden="false" customHeight="true" outlineLevel="0" collapsed="false">
      <c r="A73" s="41" t="n">
        <v>46268</v>
      </c>
      <c r="B73" s="42" t="s">
        <v>125</v>
      </c>
      <c r="C73" s="42" t="s">
        <v>251</v>
      </c>
      <c r="D73" s="43" t="n">
        <v>2</v>
      </c>
      <c r="E73" s="44"/>
      <c r="F73" s="45" t="n">
        <f aca="false">IF($B73="","",N($D73)*IF(N($E73)&gt;0,$E73,IFERROR(INDEX(Costos!$I$23:$I$300,MATCH($B73,Costos!$A$23:$A$300,0)),0)))</f>
        <v>30133.2806526807</v>
      </c>
      <c r="G73" s="42"/>
    </row>
    <row r="74" customFormat="false" ht="15.75" hidden="false" customHeight="true" outlineLevel="0" collapsed="false">
      <c r="A74" s="41" t="n">
        <v>46268</v>
      </c>
      <c r="B74" s="42" t="s">
        <v>166</v>
      </c>
      <c r="C74" s="42" t="s">
        <v>253</v>
      </c>
      <c r="D74" s="43" t="n">
        <v>2</v>
      </c>
      <c r="E74" s="44"/>
      <c r="F74" s="45" t="n">
        <f aca="false">IF($B74="","",N($D74)*IF(N($E74)&gt;0,$E74,IFERROR(INDEX(Costos!$I$23:$I$300,MATCH($B74,Costos!$A$23:$A$300,0)),0)))</f>
        <v>26833.2806526807</v>
      </c>
      <c r="G74" s="42"/>
    </row>
    <row r="75" customFormat="false" ht="15.75" hidden="false" customHeight="true" outlineLevel="0" collapsed="false">
      <c r="A75" s="41" t="n">
        <v>46268</v>
      </c>
      <c r="B75" s="42" t="s">
        <v>166</v>
      </c>
      <c r="C75" s="42" t="s">
        <v>255</v>
      </c>
      <c r="D75" s="43" t="n">
        <v>1</v>
      </c>
      <c r="E75" s="44"/>
      <c r="F75" s="45" t="n">
        <f aca="false">IF($B75="","",N($D75)*IF(N($E75)&gt;0,$E75,IFERROR(INDEX(Costos!$I$23:$I$300,MATCH($B75,Costos!$A$23:$A$300,0)),0)))</f>
        <v>13416.6403263403</v>
      </c>
      <c r="G75" s="42"/>
    </row>
    <row r="76" customFormat="false" ht="15.75" hidden="false" customHeight="true" outlineLevel="0" collapsed="false">
      <c r="A76" s="41" t="n">
        <v>46268</v>
      </c>
      <c r="B76" s="42" t="s">
        <v>135</v>
      </c>
      <c r="C76" s="42" t="s">
        <v>251</v>
      </c>
      <c r="D76" s="43" t="n">
        <v>1</v>
      </c>
      <c r="E76" s="44"/>
      <c r="F76" s="45" t="n">
        <f aca="false">IF($B76="","",N($D76)*IF(N($E76)&gt;0,$E76,IFERROR(INDEX(Costos!$I$23:$I$300,MATCH($B76,Costos!$A$23:$A$300,0)),0)))</f>
        <v>19466.6403263403</v>
      </c>
      <c r="G76" s="42"/>
    </row>
    <row r="77" customFormat="false" ht="15.75" hidden="false" customHeight="true" outlineLevel="0" collapsed="false">
      <c r="A77" s="41" t="n">
        <v>46268</v>
      </c>
      <c r="B77" s="42" t="s">
        <v>133</v>
      </c>
      <c r="C77" s="42" t="s">
        <v>251</v>
      </c>
      <c r="D77" s="43" t="n">
        <v>1</v>
      </c>
      <c r="E77" s="44"/>
      <c r="F77" s="45" t="n">
        <f aca="false">IF($B77="","",N($D77)*IF(N($E77)&gt;0,$E77,IFERROR(INDEX(Costos!$I$23:$I$300,MATCH($B77,Costos!$A$23:$A$300,0)),0)))</f>
        <v>18566.6403263403</v>
      </c>
      <c r="G77" s="42"/>
    </row>
    <row r="78" customFormat="false" ht="15.75" hidden="false" customHeight="true" outlineLevel="0" collapsed="false">
      <c r="A78" s="41" t="n">
        <v>46268</v>
      </c>
      <c r="B78" s="42" t="s">
        <v>131</v>
      </c>
      <c r="C78" s="42" t="s">
        <v>253</v>
      </c>
      <c r="D78" s="43" t="n">
        <v>3</v>
      </c>
      <c r="E78" s="44"/>
      <c r="F78" s="45" t="n">
        <f aca="false">IF($B78="","",N($D78)*IF(N($E78)&gt;0,$E78,IFERROR(INDEX(Costos!$I$23:$I$300,MATCH($B78,Costos!$A$23:$A$300,0)),0)))</f>
        <v>38749.920979021</v>
      </c>
      <c r="G78" s="42"/>
    </row>
    <row r="79" customFormat="false" ht="15.75" hidden="false" customHeight="true" outlineLevel="0" collapsed="false">
      <c r="A79" s="41" t="n">
        <v>46268</v>
      </c>
      <c r="B79" s="42" t="s">
        <v>168</v>
      </c>
      <c r="C79" s="42" t="s">
        <v>251</v>
      </c>
      <c r="D79" s="43" t="n">
        <v>2</v>
      </c>
      <c r="E79" s="44"/>
      <c r="F79" s="45" t="n">
        <f aca="false">IF($B79="","",N($D79)*IF(N($E79)&gt;0,$E79,IFERROR(INDEX(Costos!$I$23:$I$300,MATCH($B79,Costos!$A$23:$A$300,0)),0)))</f>
        <v>20233.2806526807</v>
      </c>
      <c r="G79" s="42"/>
    </row>
    <row r="80" customFormat="false" ht="15.75" hidden="false" customHeight="true" outlineLevel="0" collapsed="false">
      <c r="A80" s="41" t="n">
        <v>46268</v>
      </c>
      <c r="B80" s="42" t="s">
        <v>170</v>
      </c>
      <c r="C80" s="42" t="s">
        <v>251</v>
      </c>
      <c r="D80" s="43" t="n">
        <v>2</v>
      </c>
      <c r="E80" s="44"/>
      <c r="F80" s="45" t="n">
        <f aca="false">IF($B80="","",N($D80)*IF(N($E80)&gt;0,$E80,IFERROR(INDEX(Costos!$I$23:$I$300,MATCH($B80,Costos!$A$23:$A$300,0)),0)))</f>
        <v>11633.2806526807</v>
      </c>
      <c r="G80" s="42"/>
    </row>
    <row r="81" customFormat="false" ht="15.75" hidden="false" customHeight="true" outlineLevel="0" collapsed="false">
      <c r="A81" s="41" t="n">
        <v>46268</v>
      </c>
      <c r="B81" s="42" t="s">
        <v>174</v>
      </c>
      <c r="C81" s="42" t="s">
        <v>251</v>
      </c>
      <c r="D81" s="43" t="n">
        <v>1</v>
      </c>
      <c r="E81" s="44"/>
      <c r="F81" s="45" t="n">
        <f aca="false">IF($B81="","",N($D81)*IF(N($E81)&gt;0,$E81,IFERROR(INDEX(Costos!$I$23:$I$300,MATCH($B81,Costos!$A$23:$A$300,0)),0)))</f>
        <v>25316.6403263403</v>
      </c>
      <c r="G81" s="42"/>
    </row>
    <row r="82" customFormat="false" ht="15.75" hidden="false" customHeight="true" outlineLevel="0" collapsed="false">
      <c r="A82" s="41" t="n">
        <v>46268</v>
      </c>
      <c r="B82" s="42" t="s">
        <v>177</v>
      </c>
      <c r="C82" s="42" t="s">
        <v>251</v>
      </c>
      <c r="D82" s="43" t="n">
        <v>1</v>
      </c>
      <c r="E82" s="44"/>
      <c r="F82" s="45" t="n">
        <f aca="false">IF($B82="","",N($D82)*IF(N($E82)&gt;0,$E82,IFERROR(INDEX(Costos!$I$23:$I$300,MATCH($B82,Costos!$A$23:$A$300,0)),0)))</f>
        <v>17316.6403263403</v>
      </c>
      <c r="G82" s="42"/>
    </row>
    <row r="83" customFormat="false" ht="15.75" hidden="false" customHeight="true" outlineLevel="0" collapsed="false">
      <c r="A83" s="41" t="n">
        <v>46268</v>
      </c>
      <c r="B83" s="42" t="s">
        <v>175</v>
      </c>
      <c r="C83" s="42" t="s">
        <v>251</v>
      </c>
      <c r="D83" s="43" t="n">
        <v>1</v>
      </c>
      <c r="E83" s="44"/>
      <c r="F83" s="45" t="n">
        <f aca="false">IF($B83="","",N($D83)*IF(N($E83)&gt;0,$E83,IFERROR(INDEX(Costos!$I$23:$I$300,MATCH($B83,Costos!$A$23:$A$300,0)),0)))</f>
        <v>8216.64032634033</v>
      </c>
      <c r="G83" s="42"/>
    </row>
    <row r="84" customFormat="false" ht="15.75" hidden="false" customHeight="true" outlineLevel="0" collapsed="false">
      <c r="A84" s="41"/>
      <c r="B84" s="42"/>
      <c r="C84" s="42"/>
      <c r="D84" s="43"/>
      <c r="E84" s="44"/>
      <c r="F84" s="45" t="str">
        <f aca="false">IF($B84="","",N($D84)*IF(N($E84)&gt;0,$E84,IFERROR(INDEX(Costos!$I$23:$I$300,MATCH($B84,Costos!$A$23:$A$300,0)),0)))</f>
        <v/>
      </c>
      <c r="G84" s="42"/>
    </row>
    <row r="85" customFormat="false" ht="15.75" hidden="false" customHeight="true" outlineLevel="0" collapsed="false">
      <c r="A85" s="41" t="n">
        <v>46272</v>
      </c>
      <c r="B85" s="42" t="s">
        <v>179</v>
      </c>
      <c r="C85" s="42" t="s">
        <v>251</v>
      </c>
      <c r="D85" s="43" t="n">
        <v>1</v>
      </c>
      <c r="E85" s="44"/>
      <c r="F85" s="45" t="n">
        <f aca="false">IF($B85="","",N($D85)*IF(N($E85)&gt;0,$E85,IFERROR(INDEX(Costos!$I$23:$I$300,MATCH($B85,Costos!$A$23:$A$300,0)),0)))</f>
        <v>17816.6403263403</v>
      </c>
      <c r="G85" s="42"/>
    </row>
    <row r="86" customFormat="false" ht="15.75" hidden="false" customHeight="true" outlineLevel="0" collapsed="false">
      <c r="A86" s="41" t="n">
        <v>46272</v>
      </c>
      <c r="B86" s="42" t="s">
        <v>183</v>
      </c>
      <c r="C86" s="42" t="s">
        <v>251</v>
      </c>
      <c r="D86" s="43" t="n">
        <v>1</v>
      </c>
      <c r="E86" s="44"/>
      <c r="F86" s="45" t="n">
        <f aca="false">IF($B86="","",N($D86)*IF(N($E86)&gt;0,$E86,IFERROR(INDEX(Costos!$I$23:$I$300,MATCH($B86,Costos!$A$23:$A$300,0)),0)))</f>
        <v>8316.64032634033</v>
      </c>
      <c r="G86" s="42"/>
    </row>
    <row r="87" customFormat="false" ht="15.75" hidden="false" customHeight="true" outlineLevel="0" collapsed="false">
      <c r="A87" s="41" t="n">
        <v>46272</v>
      </c>
      <c r="B87" s="42" t="s">
        <v>185</v>
      </c>
      <c r="C87" s="42" t="s">
        <v>251</v>
      </c>
      <c r="D87" s="43" t="n">
        <v>1</v>
      </c>
      <c r="E87" s="44"/>
      <c r="F87" s="45" t="n">
        <f aca="false">IF($B87="","",N($D87)*IF(N($E87)&gt;0,$E87,IFERROR(INDEX(Costos!$I$23:$I$300,MATCH($B87,Costos!$A$23:$A$300,0)),0)))</f>
        <v>14716.6403263403</v>
      </c>
      <c r="G87" s="42"/>
    </row>
    <row r="88" customFormat="false" ht="15.75" hidden="false" customHeight="true" outlineLevel="0" collapsed="false">
      <c r="A88" s="41" t="n">
        <v>46272</v>
      </c>
      <c r="B88" s="42" t="s">
        <v>187</v>
      </c>
      <c r="C88" s="42" t="s">
        <v>251</v>
      </c>
      <c r="D88" s="43" t="n">
        <v>1</v>
      </c>
      <c r="E88" s="44"/>
      <c r="F88" s="45" t="n">
        <f aca="false">IF($B88="","",N($D88)*IF(N($E88)&gt;0,$E88,IFERROR(INDEX(Costos!$I$23:$I$300,MATCH($B88,Costos!$A$23:$A$300,0)),0)))</f>
        <v>19316.6403263403</v>
      </c>
      <c r="G88" s="42"/>
    </row>
    <row r="89" customFormat="false" ht="15.75" hidden="false" customHeight="true" outlineLevel="0" collapsed="false">
      <c r="A89" s="41" t="n">
        <v>46272</v>
      </c>
      <c r="B89" s="42" t="s">
        <v>189</v>
      </c>
      <c r="C89" s="42" t="s">
        <v>251</v>
      </c>
      <c r="D89" s="43" t="n">
        <v>1</v>
      </c>
      <c r="E89" s="44"/>
      <c r="F89" s="45" t="n">
        <f aca="false">IF($B89="","",N($D89)*IF(N($E89)&gt;0,$E89,IFERROR(INDEX(Costos!$I$23:$I$300,MATCH($B89,Costos!$A$23:$A$300,0)),0)))</f>
        <v>14516.6403263403</v>
      </c>
      <c r="G89" s="42"/>
    </row>
    <row r="90" customFormat="false" ht="15.75" hidden="false" customHeight="true" outlineLevel="0" collapsed="false">
      <c r="A90" s="41" t="n">
        <v>46272</v>
      </c>
      <c r="B90" s="42" t="s">
        <v>191</v>
      </c>
      <c r="C90" s="42" t="s">
        <v>251</v>
      </c>
      <c r="D90" s="43" t="n">
        <v>4</v>
      </c>
      <c r="E90" s="44"/>
      <c r="F90" s="45" t="n">
        <f aca="false">IF($B90="","",N($D90)*IF(N($E90)&gt;0,$E90,IFERROR(INDEX(Costos!$I$23:$I$300,MATCH($B90,Costos!$A$23:$A$300,0)),0)))</f>
        <v>19666.5613053613</v>
      </c>
      <c r="G90" s="42"/>
    </row>
    <row r="91" customFormat="false" ht="15.75" hidden="false" customHeight="true" outlineLevel="0" collapsed="false">
      <c r="A91" s="41" t="n">
        <v>46272</v>
      </c>
      <c r="B91" s="42" t="s">
        <v>194</v>
      </c>
      <c r="C91" s="42" t="s">
        <v>251</v>
      </c>
      <c r="D91" s="43" t="n">
        <v>1</v>
      </c>
      <c r="E91" s="44"/>
      <c r="F91" s="45" t="n">
        <f aca="false">IF($B91="","",N($D91)*IF(N($E91)&gt;0,$E91,IFERROR(INDEX(Costos!$I$23:$I$300,MATCH($B91,Costos!$A$23:$A$300,0)),0)))</f>
        <v>7316.64032634033</v>
      </c>
      <c r="G91" s="42"/>
    </row>
    <row r="92" customFormat="false" ht="15.75" hidden="false" customHeight="true" outlineLevel="0" collapsed="false">
      <c r="A92" s="41" t="n">
        <v>46272</v>
      </c>
      <c r="B92" s="42" t="s">
        <v>196</v>
      </c>
      <c r="C92" s="42" t="s">
        <v>251</v>
      </c>
      <c r="D92" s="43" t="n">
        <v>1</v>
      </c>
      <c r="E92" s="44"/>
      <c r="F92" s="45" t="n">
        <f aca="false">IF($B92="","",N($D92)*IF(N($E92)&gt;0,$E92,IFERROR(INDEX(Costos!$I$23:$I$300,MATCH($B92,Costos!$A$23:$A$300,0)),0)))</f>
        <v>9316.64032634033</v>
      </c>
      <c r="G92" s="42"/>
    </row>
    <row r="93" customFormat="false" ht="15.75" hidden="false" customHeight="true" outlineLevel="0" collapsed="false">
      <c r="A93" s="41" t="n">
        <v>46272</v>
      </c>
      <c r="B93" s="42" t="s">
        <v>198</v>
      </c>
      <c r="C93" s="42" t="s">
        <v>251</v>
      </c>
      <c r="D93" s="43" t="n">
        <v>1</v>
      </c>
      <c r="E93" s="44"/>
      <c r="F93" s="45" t="n">
        <f aca="false">IF($B93="","",N($D93)*IF(N($E93)&gt;0,$E93,IFERROR(INDEX(Costos!$I$23:$I$300,MATCH($B93,Costos!$A$23:$A$300,0)),0)))</f>
        <v>16116.6403263403</v>
      </c>
      <c r="G93" s="42"/>
    </row>
    <row r="94" customFormat="false" ht="15.75" hidden="false" customHeight="true" outlineLevel="0" collapsed="false">
      <c r="A94" s="41" t="n">
        <v>46272</v>
      </c>
      <c r="B94" s="42" t="s">
        <v>200</v>
      </c>
      <c r="C94" s="42" t="s">
        <v>251</v>
      </c>
      <c r="D94" s="43" t="n">
        <v>1</v>
      </c>
      <c r="E94" s="44"/>
      <c r="F94" s="45" t="n">
        <f aca="false">IF($B94="","",N($D94)*IF(N($E94)&gt;0,$E94,IFERROR(INDEX(Costos!$I$23:$I$300,MATCH($B94,Costos!$A$23:$A$300,0)),0)))</f>
        <v>11116.6403263403</v>
      </c>
      <c r="G94" s="42"/>
    </row>
    <row r="95" customFormat="false" ht="15.75" hidden="false" customHeight="true" outlineLevel="0" collapsed="false">
      <c r="A95" s="41" t="n">
        <v>46272</v>
      </c>
      <c r="B95" s="42" t="s">
        <v>202</v>
      </c>
      <c r="C95" s="42" t="s">
        <v>251</v>
      </c>
      <c r="D95" s="43" t="n">
        <v>1</v>
      </c>
      <c r="E95" s="44"/>
      <c r="F95" s="45" t="n">
        <f aca="false">IF($B95="","",N($D95)*IF(N($E95)&gt;0,$E95,IFERROR(INDEX(Costos!$I$23:$I$300,MATCH($B95,Costos!$A$23:$A$300,0)),0)))</f>
        <v>13716.6403263403</v>
      </c>
      <c r="G95" s="42"/>
    </row>
    <row r="96" customFormat="false" ht="15.75" hidden="false" customHeight="true" outlineLevel="0" collapsed="false">
      <c r="A96" s="41" t="n">
        <v>46272</v>
      </c>
      <c r="B96" s="42" t="s">
        <v>204</v>
      </c>
      <c r="C96" s="42" t="s">
        <v>251</v>
      </c>
      <c r="D96" s="43" t="n">
        <v>1</v>
      </c>
      <c r="E96" s="44"/>
      <c r="F96" s="45" t="n">
        <f aca="false">IF($B96="","",N($D96)*IF(N($E96)&gt;0,$E96,IFERROR(INDEX(Costos!$I$23:$I$300,MATCH($B96,Costos!$A$23:$A$300,0)),0)))</f>
        <v>17816.6403263403</v>
      </c>
      <c r="G96" s="42"/>
    </row>
    <row r="97" customFormat="false" ht="15.75" hidden="false" customHeight="true" outlineLevel="0" collapsed="false">
      <c r="A97" s="41" t="n">
        <v>46272</v>
      </c>
      <c r="B97" s="42" t="s">
        <v>206</v>
      </c>
      <c r="C97" s="42" t="s">
        <v>251</v>
      </c>
      <c r="D97" s="43" t="n">
        <v>1</v>
      </c>
      <c r="E97" s="44"/>
      <c r="F97" s="45" t="n">
        <f aca="false">IF($B97="","",N($D97)*IF(N($E97)&gt;0,$E97,IFERROR(INDEX(Costos!$I$23:$I$300,MATCH($B97,Costos!$A$23:$A$300,0)),0)))</f>
        <v>8316.64032634033</v>
      </c>
      <c r="G97" s="42"/>
    </row>
    <row r="98" customFormat="false" ht="15.75" hidden="false" customHeight="true" outlineLevel="0" collapsed="false">
      <c r="A98" s="41" t="n">
        <v>46272</v>
      </c>
      <c r="B98" s="42" t="s">
        <v>208</v>
      </c>
      <c r="C98" s="42" t="s">
        <v>251</v>
      </c>
      <c r="D98" s="43" t="n">
        <v>1</v>
      </c>
      <c r="E98" s="44"/>
      <c r="F98" s="45" t="n">
        <f aca="false">IF($B98="","",N($D98)*IF(N($E98)&gt;0,$E98,IFERROR(INDEX(Costos!$I$23:$I$300,MATCH($B98,Costos!$A$23:$A$300,0)),0)))</f>
        <v>10116.6403263403</v>
      </c>
      <c r="G98" s="42"/>
    </row>
    <row r="99" customFormat="false" ht="15.75" hidden="false" customHeight="true" outlineLevel="0" collapsed="false">
      <c r="A99" s="41" t="n">
        <v>46272</v>
      </c>
      <c r="B99" s="42" t="s">
        <v>210</v>
      </c>
      <c r="C99" s="42" t="s">
        <v>251</v>
      </c>
      <c r="D99" s="43" t="n">
        <v>1</v>
      </c>
      <c r="E99" s="44"/>
      <c r="F99" s="45" t="n">
        <f aca="false">IF($B99="","",N($D99)*IF(N($E99)&gt;0,$E99,IFERROR(INDEX(Costos!$I$23:$I$300,MATCH($B99,Costos!$A$23:$A$300,0)),0)))</f>
        <v>7816.64032634033</v>
      </c>
      <c r="G99" s="42"/>
    </row>
    <row r="100" customFormat="false" ht="15.75" hidden="false" customHeight="true" outlineLevel="0" collapsed="false">
      <c r="A100" s="41" t="n">
        <v>46272</v>
      </c>
      <c r="B100" s="42" t="s">
        <v>212</v>
      </c>
      <c r="C100" s="42" t="s">
        <v>251</v>
      </c>
      <c r="D100" s="43" t="n">
        <v>1</v>
      </c>
      <c r="E100" s="44"/>
      <c r="F100" s="45" t="n">
        <f aca="false">IF($B100="","",N($D100)*IF(N($E100)&gt;0,$E100,IFERROR(INDEX(Costos!$I$23:$I$300,MATCH($B100,Costos!$A$23:$A$300,0)),0)))</f>
        <v>6216.64032634033</v>
      </c>
      <c r="G100" s="42"/>
    </row>
    <row r="101" customFormat="false" ht="15.75" hidden="false" customHeight="true" outlineLevel="0" collapsed="false">
      <c r="A101" s="41" t="n">
        <v>46272</v>
      </c>
      <c r="B101" s="42" t="s">
        <v>214</v>
      </c>
      <c r="C101" s="42" t="s">
        <v>251</v>
      </c>
      <c r="D101" s="43" t="n">
        <v>1</v>
      </c>
      <c r="E101" s="44"/>
      <c r="F101" s="45" t="n">
        <f aca="false">IF($B101="","",N($D101)*IF(N($E101)&gt;0,$E101,IFERROR(INDEX(Costos!$I$23:$I$300,MATCH($B101,Costos!$A$23:$A$300,0)),0)))</f>
        <v>4916.64032634033</v>
      </c>
      <c r="G101" s="42"/>
    </row>
    <row r="102" customFormat="false" ht="15.75" hidden="false" customHeight="true" outlineLevel="0" collapsed="false">
      <c r="A102" s="41" t="n">
        <v>46272</v>
      </c>
      <c r="B102" s="42" t="s">
        <v>216</v>
      </c>
      <c r="C102" s="42" t="s">
        <v>251</v>
      </c>
      <c r="D102" s="43" t="n">
        <v>1</v>
      </c>
      <c r="E102" s="44"/>
      <c r="F102" s="45" t="n">
        <f aca="false">IF($B102="","",N($D102)*IF(N($E102)&gt;0,$E102,IFERROR(INDEX(Costos!$I$23:$I$300,MATCH($B102,Costos!$A$23:$A$300,0)),0)))</f>
        <v>6516.64032634033</v>
      </c>
      <c r="G102" s="42"/>
    </row>
    <row r="103" customFormat="false" ht="15.75" hidden="false" customHeight="true" outlineLevel="0" collapsed="false">
      <c r="A103" s="41"/>
      <c r="B103" s="42"/>
      <c r="C103" s="42"/>
      <c r="D103" s="43"/>
      <c r="E103" s="44"/>
      <c r="F103" s="45" t="str">
        <f aca="false">IF($B103="","",N($D103)*IF(N($E103)&gt;0,$E103,IFERROR(INDEX(Costos!$I$23:$I$300,MATCH($B103,Costos!$A$23:$A$300,0)),0)))</f>
        <v/>
      </c>
      <c r="G103" s="42"/>
    </row>
    <row r="104" customFormat="false" ht="15.75" hidden="false" customHeight="true" outlineLevel="0" collapsed="false">
      <c r="A104" s="41"/>
      <c r="B104" s="42"/>
      <c r="C104" s="42"/>
      <c r="D104" s="43"/>
      <c r="E104" s="44"/>
      <c r="F104" s="45" t="str">
        <f aca="false">IF($B104="","",N($D104)*IF(N($E104)&gt;0,$E104,IFERROR(INDEX(Costos!$I$23:$I$300,MATCH($B104,Costos!$A$23:$A$300,0)),0)))</f>
        <v/>
      </c>
      <c r="G104" s="42"/>
    </row>
    <row r="105" customFormat="false" ht="15.75" hidden="false" customHeight="true" outlineLevel="0" collapsed="false">
      <c r="A105" s="41" t="n">
        <v>46272</v>
      </c>
      <c r="B105" s="42" t="s">
        <v>154</v>
      </c>
      <c r="C105" s="42" t="s">
        <v>251</v>
      </c>
      <c r="D105" s="43" t="n">
        <v>2</v>
      </c>
      <c r="E105" s="44"/>
      <c r="F105" s="45" t="n">
        <f aca="false">IF($B105="","",N($D105)*IF(N($E105)&gt;0,$E105,IFERROR(INDEX(Costos!$I$23:$I$300,MATCH($B105,Costos!$A$23:$A$300,0)),0)))</f>
        <v>17197.2806526807</v>
      </c>
      <c r="G105" s="42"/>
    </row>
    <row r="106" customFormat="false" ht="15.75" hidden="false" customHeight="true" outlineLevel="0" collapsed="false">
      <c r="A106" s="41" t="n">
        <v>46272</v>
      </c>
      <c r="B106" s="42" t="s">
        <v>152</v>
      </c>
      <c r="C106" s="42" t="s">
        <v>251</v>
      </c>
      <c r="D106" s="43" t="n">
        <v>2</v>
      </c>
      <c r="E106" s="44"/>
      <c r="F106" s="45" t="n">
        <f aca="false">IF($B106="","",N($D106)*IF(N($E106)&gt;0,$E106,IFERROR(INDEX(Costos!$I$23:$I$300,MATCH($B106,Costos!$A$23:$A$300,0)),0)))</f>
        <v>17929.2806526807</v>
      </c>
      <c r="G106" s="42"/>
    </row>
    <row r="107" customFormat="false" ht="15.75" hidden="false" customHeight="true" outlineLevel="0" collapsed="false">
      <c r="A107" s="41" t="n">
        <v>46272</v>
      </c>
      <c r="B107" s="42" t="s">
        <v>218</v>
      </c>
      <c r="C107" s="42" t="s">
        <v>251</v>
      </c>
      <c r="D107" s="43" t="n">
        <v>1</v>
      </c>
      <c r="E107" s="44"/>
      <c r="F107" s="45" t="n">
        <f aca="false">IF($B107="","",N($D107)*IF(N($E107)&gt;0,$E107,IFERROR(INDEX(Costos!$I$23:$I$300,MATCH($B107,Costos!$A$23:$A$300,0)),0)))</f>
        <v>7298.64032634033</v>
      </c>
      <c r="G107" s="42"/>
    </row>
    <row r="108" customFormat="false" ht="15.75" hidden="false" customHeight="true" outlineLevel="0" collapsed="false">
      <c r="A108" s="41" t="n">
        <v>46272</v>
      </c>
      <c r="B108" s="42" t="s">
        <v>221</v>
      </c>
      <c r="C108" s="42" t="s">
        <v>251</v>
      </c>
      <c r="D108" s="43" t="n">
        <v>1</v>
      </c>
      <c r="E108" s="44"/>
      <c r="F108" s="45" t="n">
        <f aca="false">IF($B108="","",N($D108)*IF(N($E108)&gt;0,$E108,IFERROR(INDEX(Costos!$I$23:$I$300,MATCH($B108,Costos!$A$23:$A$300,0)),0)))</f>
        <v>6373.64032634033</v>
      </c>
      <c r="G108" s="42"/>
    </row>
    <row r="109" customFormat="false" ht="15.75" hidden="false" customHeight="true" outlineLevel="0" collapsed="false">
      <c r="A109" s="41" t="n">
        <v>46272</v>
      </c>
      <c r="B109" s="42" t="s">
        <v>222</v>
      </c>
      <c r="C109" s="42" t="s">
        <v>251</v>
      </c>
      <c r="D109" s="43" t="n">
        <v>1</v>
      </c>
      <c r="E109" s="44"/>
      <c r="F109" s="45" t="n">
        <f aca="false">IF($B109="","",N($D109)*IF(N($E109)&gt;0,$E109,IFERROR(INDEX(Costos!$I$23:$I$300,MATCH($B109,Costos!$A$23:$A$300,0)),0)))</f>
        <v>6373.64032634033</v>
      </c>
      <c r="G109" s="42"/>
    </row>
    <row r="110" customFormat="false" ht="15.75" hidden="false" customHeight="true" outlineLevel="0" collapsed="false">
      <c r="A110" s="41" t="n">
        <v>46272</v>
      </c>
      <c r="B110" s="42" t="s">
        <v>223</v>
      </c>
      <c r="C110" s="42" t="s">
        <v>251</v>
      </c>
      <c r="D110" s="43" t="n">
        <v>1</v>
      </c>
      <c r="E110" s="44"/>
      <c r="F110" s="45" t="n">
        <f aca="false">IF($B110="","",N($D110)*IF(N($E110)&gt;0,$E110,IFERROR(INDEX(Costos!$I$23:$I$300,MATCH($B110,Costos!$A$23:$A$300,0)),0)))</f>
        <v>8897.64032634033</v>
      </c>
      <c r="G110" s="42"/>
    </row>
    <row r="111" customFormat="false" ht="15.75" hidden="false" customHeight="true" outlineLevel="0" collapsed="false">
      <c r="A111" s="41" t="n">
        <v>46272</v>
      </c>
      <c r="B111" s="42" t="s">
        <v>224</v>
      </c>
      <c r="C111" s="42" t="s">
        <v>251</v>
      </c>
      <c r="D111" s="43" t="n">
        <v>1</v>
      </c>
      <c r="E111" s="44"/>
      <c r="F111" s="45" t="n">
        <f aca="false">IF($B111="","",N($D111)*IF(N($E111)&gt;0,$E111,IFERROR(INDEX(Costos!$I$23:$I$300,MATCH($B111,Costos!$A$23:$A$300,0)),0)))</f>
        <v>8897.64032634033</v>
      </c>
      <c r="G111" s="42"/>
    </row>
    <row r="112" customFormat="false" ht="15.75" hidden="false" customHeight="true" outlineLevel="0" collapsed="false">
      <c r="A112" s="41" t="n">
        <v>46272</v>
      </c>
      <c r="B112" s="42" t="s">
        <v>229</v>
      </c>
      <c r="C112" s="42" t="s">
        <v>251</v>
      </c>
      <c r="D112" s="43" t="n">
        <v>2</v>
      </c>
      <c r="E112" s="44"/>
      <c r="F112" s="45" t="n">
        <f aca="false">IF($B112="","",N($D112)*IF(N($E112)&gt;0,$E112,IFERROR(INDEX(Costos!$I$23:$I$300,MATCH($B112,Costos!$A$23:$A$300,0)),0)))</f>
        <v>9401.28065268065</v>
      </c>
      <c r="G112" s="42"/>
    </row>
    <row r="113" customFormat="false" ht="15.75" hidden="false" customHeight="true" outlineLevel="0" collapsed="false">
      <c r="A113" s="41" t="n">
        <v>46272</v>
      </c>
      <c r="B113" s="42" t="s">
        <v>231</v>
      </c>
      <c r="C113" s="42" t="s">
        <v>251</v>
      </c>
      <c r="D113" s="43" t="n">
        <v>2</v>
      </c>
      <c r="E113" s="44"/>
      <c r="F113" s="45" t="n">
        <f aca="false">IF($B113="","",N($D113)*IF(N($E113)&gt;0,$E113,IFERROR(INDEX(Costos!$I$23:$I$300,MATCH($B113,Costos!$A$23:$A$300,0)),0)))</f>
        <v>9583.28065268065</v>
      </c>
      <c r="G113" s="42"/>
    </row>
    <row r="114" customFormat="false" ht="15.75" hidden="false" customHeight="true" outlineLevel="0" collapsed="false">
      <c r="A114" s="41" t="n">
        <v>46272</v>
      </c>
      <c r="B114" s="42" t="s">
        <v>233</v>
      </c>
      <c r="C114" s="42" t="s">
        <v>251</v>
      </c>
      <c r="D114" s="43" t="n">
        <v>2</v>
      </c>
      <c r="E114" s="44"/>
      <c r="F114" s="45" t="n">
        <f aca="false">IF($B114="","",N($D114)*IF(N($E114)&gt;0,$E114,IFERROR(INDEX(Costos!$I$23:$I$300,MATCH($B114,Costos!$A$23:$A$300,0)),0)))</f>
        <v>9583.28065268065</v>
      </c>
      <c r="G114" s="42"/>
    </row>
    <row r="115" customFormat="false" ht="15.75" hidden="false" customHeight="true" outlineLevel="0" collapsed="false">
      <c r="A115" s="41" t="n">
        <v>46272</v>
      </c>
      <c r="B115" s="42" t="s">
        <v>227</v>
      </c>
      <c r="C115" s="42" t="s">
        <v>251</v>
      </c>
      <c r="D115" s="43" t="n">
        <v>1</v>
      </c>
      <c r="E115" s="44"/>
      <c r="F115" s="45" t="n">
        <f aca="false">IF($B115="","",N($D115)*IF(N($E115)&gt;0,$E115,IFERROR(INDEX(Costos!$I$23:$I$300,MATCH($B115,Costos!$A$23:$A$300,0)),0)))</f>
        <v>10658.6403263403</v>
      </c>
      <c r="G115" s="42"/>
    </row>
    <row r="116" customFormat="false" ht="15.75" hidden="false" customHeight="true" outlineLevel="0" collapsed="false">
      <c r="A116" s="41" t="n">
        <v>46272</v>
      </c>
      <c r="B116" s="42" t="s">
        <v>225</v>
      </c>
      <c r="C116" s="42" t="s">
        <v>251</v>
      </c>
      <c r="D116" s="43" t="n">
        <v>2</v>
      </c>
      <c r="E116" s="44"/>
      <c r="F116" s="45" t="n">
        <f aca="false">IF($B116="","",N($D116)*IF(N($E116)&gt;0,$E116,IFERROR(INDEX(Costos!$I$23:$I$300,MATCH($B116,Costos!$A$23:$A$300,0)),0)))</f>
        <v>19791.2806526807</v>
      </c>
      <c r="G116" s="42"/>
    </row>
    <row r="117" customFormat="false" ht="15.75" hidden="false" customHeight="true" outlineLevel="0" collapsed="false">
      <c r="A117" s="41" t="n">
        <v>46272</v>
      </c>
      <c r="B117" s="42" t="s">
        <v>239</v>
      </c>
      <c r="C117" s="42" t="s">
        <v>251</v>
      </c>
      <c r="D117" s="43" t="n">
        <v>1</v>
      </c>
      <c r="E117" s="44"/>
      <c r="F117" s="45" t="n">
        <f aca="false">IF($B117="","",N($D117)*IF(N($E117)&gt;0,$E117,IFERROR(INDEX(Costos!$I$23:$I$300,MATCH($B117,Costos!$A$23:$A$300,0)),0)))</f>
        <v>11588.6403263403</v>
      </c>
      <c r="G117" s="42"/>
    </row>
    <row r="118" customFormat="false" ht="15.75" hidden="false" customHeight="true" outlineLevel="0" collapsed="false">
      <c r="A118" s="41" t="n">
        <v>46272</v>
      </c>
      <c r="B118" s="42" t="s">
        <v>238</v>
      </c>
      <c r="C118" s="42" t="s">
        <v>251</v>
      </c>
      <c r="D118" s="43" t="n">
        <v>2</v>
      </c>
      <c r="E118" s="44"/>
      <c r="F118" s="45" t="n">
        <f aca="false">IF($B118="","",N($D118)*IF(N($E118)&gt;0,$E118,IFERROR(INDEX(Costos!$I$23:$I$300,MATCH($B118,Costos!$A$23:$A$300,0)),0)))</f>
        <v>23177.2806526807</v>
      </c>
      <c r="G118" s="42"/>
    </row>
    <row r="119" customFormat="false" ht="15.75" hidden="false" customHeight="true" outlineLevel="0" collapsed="false">
      <c r="A119" s="41" t="n">
        <v>46272</v>
      </c>
      <c r="B119" s="42" t="s">
        <v>240</v>
      </c>
      <c r="C119" s="42" t="s">
        <v>251</v>
      </c>
      <c r="D119" s="43" t="n">
        <v>2</v>
      </c>
      <c r="E119" s="44"/>
      <c r="F119" s="45" t="n">
        <f aca="false">IF($B119="","",N($D119)*IF(N($E119)&gt;0,$E119,IFERROR(INDEX(Costos!$I$23:$I$300,MATCH($B119,Costos!$A$23:$A$300,0)),0)))</f>
        <v>8283.28065268065</v>
      </c>
      <c r="G119" s="42"/>
    </row>
    <row r="120" customFormat="false" ht="15.75" hidden="false" customHeight="true" outlineLevel="0" collapsed="false">
      <c r="A120" s="41" t="n">
        <v>46272</v>
      </c>
      <c r="B120" s="42" t="s">
        <v>236</v>
      </c>
      <c r="C120" s="42" t="s">
        <v>251</v>
      </c>
      <c r="D120" s="43" t="n">
        <v>2</v>
      </c>
      <c r="E120" s="44"/>
      <c r="F120" s="45" t="n">
        <f aca="false">IF($B120="","",N($D120)*IF(N($E120)&gt;0,$E120,IFERROR(INDEX(Costos!$I$23:$I$300,MATCH($B120,Costos!$A$23:$A$300,0)),0)))</f>
        <v>6689.28065268065</v>
      </c>
      <c r="G120" s="42"/>
    </row>
    <row r="121" customFormat="false" ht="15.75" hidden="false" customHeight="true" outlineLevel="0" collapsed="false">
      <c r="A121" s="41"/>
      <c r="B121" s="42"/>
      <c r="C121" s="42"/>
      <c r="D121" s="43"/>
      <c r="E121" s="44"/>
      <c r="F121" s="45" t="str">
        <f aca="false">IF($B121="","",N($D121)*IF(N($E121)&gt;0,$E121,IFERROR(INDEX(Costos!$I$23:$I$300,MATCH($B121,Costos!$A$23:$A$300,0)),0)))</f>
        <v/>
      </c>
      <c r="G121" s="42"/>
    </row>
    <row r="122" customFormat="false" ht="15.75" hidden="false" customHeight="true" outlineLevel="0" collapsed="false">
      <c r="A122" s="41"/>
      <c r="B122" s="42"/>
      <c r="C122" s="42"/>
      <c r="D122" s="43"/>
      <c r="E122" s="44"/>
      <c r="F122" s="45" t="str">
        <f aca="false">IF($B122="","",N($D122)*IF(N($E122)&gt;0,$E122,IFERROR(INDEX(Costos!$I$23:$I$300,MATCH($B122,Costos!$A$23:$A$300,0)),0)))</f>
        <v/>
      </c>
      <c r="G122" s="42"/>
    </row>
    <row r="123" customFormat="false" ht="15.75" hidden="false" customHeight="true" outlineLevel="0" collapsed="false">
      <c r="A123" s="41"/>
      <c r="B123" s="42"/>
      <c r="C123" s="42"/>
      <c r="D123" s="43"/>
      <c r="E123" s="44"/>
      <c r="F123" s="45" t="str">
        <f aca="false">IF($B123="","",N($D123)*IF(N($E123)&gt;0,$E123,IFERROR(INDEX(Costos!$I$23:$I$300,MATCH($B123,Costos!$A$23:$A$300,0)),0)))</f>
        <v/>
      </c>
      <c r="G123" s="42"/>
    </row>
    <row r="124" customFormat="false" ht="15.75" hidden="false" customHeight="true" outlineLevel="0" collapsed="false">
      <c r="A124" s="41"/>
      <c r="B124" s="42"/>
      <c r="C124" s="42"/>
      <c r="D124" s="43"/>
      <c r="E124" s="44"/>
      <c r="F124" s="45" t="str">
        <f aca="false">IF($B124="","",N($D124)*IF(N($E124)&gt;0,$E124,IFERROR(INDEX(Costos!$I$23:$I$300,MATCH($B124,Costos!$A$23:$A$300,0)),0)))</f>
        <v/>
      </c>
      <c r="G124" s="42"/>
    </row>
    <row r="125" customFormat="false" ht="15.75" hidden="false" customHeight="true" outlineLevel="0" collapsed="false">
      <c r="A125" s="41"/>
      <c r="B125" s="42"/>
      <c r="C125" s="42"/>
      <c r="D125" s="43"/>
      <c r="E125" s="44"/>
      <c r="F125" s="45" t="str">
        <f aca="false">IF($B125="","",N($D125)*IF(N($E125)&gt;0,$E125,IFERROR(INDEX(Costos!$I$23:$I$300,MATCH($B125,Costos!$A$23:$A$300,0)),0)))</f>
        <v/>
      </c>
      <c r="G125" s="42"/>
    </row>
    <row r="126" customFormat="false" ht="15.75" hidden="false" customHeight="true" outlineLevel="0" collapsed="false">
      <c r="A126" s="41"/>
      <c r="B126" s="42"/>
      <c r="C126" s="42"/>
      <c r="D126" s="43"/>
      <c r="E126" s="44"/>
      <c r="F126" s="45" t="str">
        <f aca="false">IF($B126="","",N($D126)*IF(N($E126)&gt;0,$E126,IFERROR(INDEX(Costos!$I$23:$I$300,MATCH($B126,Costos!$A$23:$A$300,0)),0)))</f>
        <v/>
      </c>
      <c r="G126" s="42"/>
    </row>
    <row r="127" customFormat="false" ht="15.75" hidden="false" customHeight="true" outlineLevel="0" collapsed="false">
      <c r="A127" s="41"/>
      <c r="B127" s="42"/>
      <c r="C127" s="42"/>
      <c r="D127" s="43"/>
      <c r="E127" s="44"/>
      <c r="F127" s="45" t="str">
        <f aca="false">IF($B127="","",N($D127)*IF(N($E127)&gt;0,$E127,IFERROR(INDEX(Costos!$I$23:$I$300,MATCH($B127,Costos!$A$23:$A$300,0)),0)))</f>
        <v/>
      </c>
      <c r="G127" s="42"/>
    </row>
    <row r="128" customFormat="false" ht="15.75" hidden="false" customHeight="true" outlineLevel="0" collapsed="false">
      <c r="A128" s="41"/>
      <c r="B128" s="42"/>
      <c r="C128" s="42"/>
      <c r="D128" s="43"/>
      <c r="E128" s="44"/>
      <c r="F128" s="45" t="str">
        <f aca="false">IF($B128="","",N($D128)*IF(N($E128)&gt;0,$E128,IFERROR(INDEX(Costos!$I$23:$I$300,MATCH($B128,Costos!$A$23:$A$300,0)),0)))</f>
        <v/>
      </c>
      <c r="G128" s="42"/>
    </row>
    <row r="129" customFormat="false" ht="15.75" hidden="false" customHeight="true" outlineLevel="0" collapsed="false">
      <c r="A129" s="41"/>
      <c r="B129" s="42"/>
      <c r="C129" s="42"/>
      <c r="D129" s="43"/>
      <c r="E129" s="44"/>
      <c r="F129" s="45" t="str">
        <f aca="false">IF($B129="","",N($D129)*IF(N($E129)&gt;0,$E129,IFERROR(INDEX(Costos!$I$23:$I$300,MATCH($B129,Costos!$A$23:$A$300,0)),0)))</f>
        <v/>
      </c>
      <c r="G129" s="42"/>
    </row>
    <row r="130" customFormat="false" ht="15.75" hidden="false" customHeight="true" outlineLevel="0" collapsed="false">
      <c r="A130" s="41"/>
      <c r="B130" s="42"/>
      <c r="C130" s="42"/>
      <c r="D130" s="43"/>
      <c r="E130" s="44"/>
      <c r="F130" s="45" t="str">
        <f aca="false">IF($B130="","",N($D130)*IF(N($E130)&gt;0,$E130,IFERROR(INDEX(Costos!$I$23:$I$300,MATCH($B130,Costos!$A$23:$A$300,0)),0)))</f>
        <v/>
      </c>
      <c r="G130" s="42"/>
    </row>
    <row r="131" customFormat="false" ht="15.75" hidden="false" customHeight="true" outlineLevel="0" collapsed="false">
      <c r="A131" s="41"/>
      <c r="B131" s="42"/>
      <c r="C131" s="42"/>
      <c r="D131" s="43"/>
      <c r="E131" s="44"/>
      <c r="F131" s="45" t="str">
        <f aca="false">IF($B131="","",N($D131)*IF(N($E131)&gt;0,$E131,IFERROR(INDEX(Costos!$I$23:$I$300,MATCH($B131,Costos!$A$23:$A$300,0)),0)))</f>
        <v/>
      </c>
      <c r="G131" s="42"/>
    </row>
    <row r="132" customFormat="false" ht="15.75" hidden="false" customHeight="true" outlineLevel="0" collapsed="false">
      <c r="A132" s="41"/>
      <c r="B132" s="42"/>
      <c r="C132" s="42"/>
      <c r="D132" s="43"/>
      <c r="E132" s="44"/>
      <c r="F132" s="45" t="str">
        <f aca="false">IF($B132="","",N($D132)*IF(N($E132)&gt;0,$E132,IFERROR(INDEX(Costos!$I$23:$I$300,MATCH($B132,Costos!$A$23:$A$300,0)),0)))</f>
        <v/>
      </c>
      <c r="G132" s="42"/>
    </row>
    <row r="133" customFormat="false" ht="15.75" hidden="false" customHeight="true" outlineLevel="0" collapsed="false">
      <c r="A133" s="41"/>
      <c r="B133" s="42"/>
      <c r="C133" s="42"/>
      <c r="D133" s="43"/>
      <c r="E133" s="44"/>
      <c r="F133" s="45" t="str">
        <f aca="false">IF($B133="","",N($D133)*IF(N($E133)&gt;0,$E133,IFERROR(INDEX(Costos!$I$23:$I$300,MATCH($B133,Costos!$A$23:$A$300,0)),0)))</f>
        <v/>
      </c>
      <c r="G133" s="42"/>
    </row>
    <row r="134" customFormat="false" ht="15.75" hidden="false" customHeight="true" outlineLevel="0" collapsed="false">
      <c r="A134" s="41"/>
      <c r="B134" s="42"/>
      <c r="C134" s="42"/>
      <c r="D134" s="43"/>
      <c r="E134" s="44"/>
      <c r="F134" s="45" t="str">
        <f aca="false">IF($B134="","",N($D134)*IF(N($E134)&gt;0,$E134,IFERROR(INDEX(Costos!$I$23:$I$300,MATCH($B134,Costos!$A$23:$A$300,0)),0)))</f>
        <v/>
      </c>
      <c r="G134" s="42"/>
    </row>
    <row r="135" customFormat="false" ht="15.75" hidden="false" customHeight="true" outlineLevel="0" collapsed="false">
      <c r="A135" s="41"/>
      <c r="B135" s="42"/>
      <c r="C135" s="42"/>
      <c r="D135" s="43"/>
      <c r="E135" s="44"/>
      <c r="F135" s="45" t="str">
        <f aca="false">IF($B135="","",N($D135)*IF(N($E135)&gt;0,$E135,IFERROR(INDEX(Costos!$I$23:$I$300,MATCH($B135,Costos!$A$23:$A$300,0)),0)))</f>
        <v/>
      </c>
      <c r="G135" s="42"/>
    </row>
    <row r="136" customFormat="false" ht="15.75" hidden="false" customHeight="true" outlineLevel="0" collapsed="false">
      <c r="A136" s="41"/>
      <c r="B136" s="42"/>
      <c r="C136" s="42"/>
      <c r="D136" s="43"/>
      <c r="E136" s="44"/>
      <c r="F136" s="45" t="str">
        <f aca="false">IF($B136="","",N($D136)*IF(N($E136)&gt;0,$E136,IFERROR(INDEX(Costos!$I$23:$I$300,MATCH($B136,Costos!$A$23:$A$300,0)),0)))</f>
        <v/>
      </c>
      <c r="G136" s="42"/>
    </row>
    <row r="137" customFormat="false" ht="15.75" hidden="false" customHeight="true" outlineLevel="0" collapsed="false">
      <c r="A137" s="41"/>
      <c r="B137" s="42"/>
      <c r="C137" s="42"/>
      <c r="D137" s="43"/>
      <c r="E137" s="44"/>
      <c r="F137" s="45" t="str">
        <f aca="false">IF($B137="","",N($D137)*IF(N($E137)&gt;0,$E137,IFERROR(INDEX(Costos!$I$23:$I$300,MATCH($B137,Costos!$A$23:$A$300,0)),0)))</f>
        <v/>
      </c>
      <c r="G137" s="42"/>
    </row>
    <row r="138" customFormat="false" ht="15.75" hidden="false" customHeight="true" outlineLevel="0" collapsed="false">
      <c r="A138" s="41"/>
      <c r="B138" s="42"/>
      <c r="C138" s="42"/>
      <c r="D138" s="43"/>
      <c r="E138" s="44"/>
      <c r="F138" s="45" t="str">
        <f aca="false">IF($B138="","",N($D138)*IF(N($E138)&gt;0,$E138,IFERROR(INDEX(Costos!$I$23:$I$300,MATCH($B138,Costos!$A$23:$A$300,0)),0)))</f>
        <v/>
      </c>
      <c r="G138" s="42"/>
    </row>
    <row r="139" customFormat="false" ht="15.75" hidden="false" customHeight="true" outlineLevel="0" collapsed="false">
      <c r="A139" s="41"/>
      <c r="B139" s="42"/>
      <c r="C139" s="42"/>
      <c r="D139" s="43"/>
      <c r="E139" s="44"/>
      <c r="F139" s="45" t="str">
        <f aca="false">IF($B139="","",N($D139)*IF(N($E139)&gt;0,$E139,IFERROR(INDEX(Costos!$I$23:$I$300,MATCH($B139,Costos!$A$23:$A$300,0)),0)))</f>
        <v/>
      </c>
      <c r="G139" s="42"/>
    </row>
    <row r="140" customFormat="false" ht="15.75" hidden="false" customHeight="true" outlineLevel="0" collapsed="false">
      <c r="A140" s="41"/>
      <c r="B140" s="42"/>
      <c r="C140" s="42"/>
      <c r="D140" s="43"/>
      <c r="E140" s="44"/>
      <c r="F140" s="45" t="str">
        <f aca="false">IF($B140="","",N($D140)*IF(N($E140)&gt;0,$E140,IFERROR(INDEX(Costos!$I$23:$I$300,MATCH($B140,Costos!$A$23:$A$300,0)),0)))</f>
        <v/>
      </c>
      <c r="G140" s="42"/>
    </row>
    <row r="141" customFormat="false" ht="15.75" hidden="false" customHeight="true" outlineLevel="0" collapsed="false">
      <c r="A141" s="41"/>
      <c r="B141" s="42"/>
      <c r="C141" s="42"/>
      <c r="D141" s="43"/>
      <c r="E141" s="44"/>
      <c r="F141" s="45" t="str">
        <f aca="false">IF($B141="","",N($D141)*IF(N($E141)&gt;0,$E141,IFERROR(INDEX(Costos!$I$23:$I$300,MATCH($B141,Costos!$A$23:$A$300,0)),0)))</f>
        <v/>
      </c>
      <c r="G141" s="42"/>
    </row>
    <row r="142" customFormat="false" ht="15.75" hidden="false" customHeight="true" outlineLevel="0" collapsed="false">
      <c r="A142" s="41"/>
      <c r="B142" s="42"/>
      <c r="C142" s="42"/>
      <c r="D142" s="43"/>
      <c r="E142" s="44"/>
      <c r="F142" s="45" t="str">
        <f aca="false">IF($B142="","",N($D142)*IF(N($E142)&gt;0,$E142,IFERROR(INDEX(Costos!$I$23:$I$300,MATCH($B142,Costos!$A$23:$A$300,0)),0)))</f>
        <v/>
      </c>
      <c r="G142" s="42"/>
    </row>
    <row r="143" customFormat="false" ht="15.75" hidden="false" customHeight="true" outlineLevel="0" collapsed="false">
      <c r="A143" s="41"/>
      <c r="B143" s="42"/>
      <c r="C143" s="42"/>
      <c r="D143" s="43"/>
      <c r="E143" s="44"/>
      <c r="F143" s="45" t="str">
        <f aca="false">IF($B143="","",N($D143)*IF(N($E143)&gt;0,$E143,IFERROR(INDEX(Costos!$I$23:$I$300,MATCH($B143,Costos!$A$23:$A$300,0)),0)))</f>
        <v/>
      </c>
      <c r="G143" s="42"/>
    </row>
    <row r="144" customFormat="false" ht="15.75" hidden="false" customHeight="true" outlineLevel="0" collapsed="false">
      <c r="A144" s="41"/>
      <c r="B144" s="42"/>
      <c r="C144" s="42"/>
      <c r="D144" s="43"/>
      <c r="E144" s="44"/>
      <c r="F144" s="45" t="str">
        <f aca="false">IF($B144="","",N($D144)*IF(N($E144)&gt;0,$E144,IFERROR(INDEX(Costos!$I$23:$I$300,MATCH($B144,Costos!$A$23:$A$300,0)),0)))</f>
        <v/>
      </c>
      <c r="G144" s="42"/>
    </row>
    <row r="145" customFormat="false" ht="15.75" hidden="false" customHeight="true" outlineLevel="0" collapsed="false">
      <c r="A145" s="41"/>
      <c r="B145" s="42"/>
      <c r="C145" s="42"/>
      <c r="D145" s="43"/>
      <c r="E145" s="44"/>
      <c r="F145" s="45" t="str">
        <f aca="false">IF($B145="","",N($D145)*IF(N($E145)&gt;0,$E145,IFERROR(INDEX(Costos!$I$23:$I$300,MATCH($B145,Costos!$A$23:$A$300,0)),0)))</f>
        <v/>
      </c>
      <c r="G145" s="42"/>
    </row>
    <row r="146" customFormat="false" ht="15.75" hidden="false" customHeight="true" outlineLevel="0" collapsed="false">
      <c r="A146" s="41"/>
      <c r="B146" s="42"/>
      <c r="C146" s="42"/>
      <c r="D146" s="43"/>
      <c r="E146" s="44"/>
      <c r="F146" s="45" t="str">
        <f aca="false">IF($B146="","",N($D146)*IF(N($E146)&gt;0,$E146,IFERROR(INDEX(Costos!$I$23:$I$300,MATCH($B146,Costos!$A$23:$A$300,0)),0)))</f>
        <v/>
      </c>
      <c r="G146" s="42"/>
    </row>
    <row r="147" customFormat="false" ht="15.75" hidden="false" customHeight="true" outlineLevel="0" collapsed="false">
      <c r="A147" s="41"/>
      <c r="B147" s="42"/>
      <c r="C147" s="42"/>
      <c r="D147" s="43"/>
      <c r="E147" s="44"/>
      <c r="F147" s="45" t="str">
        <f aca="false">IF($B147="","",N($D147)*IF(N($E147)&gt;0,$E147,IFERROR(INDEX(Costos!$I$23:$I$300,MATCH($B147,Costos!$A$23:$A$300,0)),0)))</f>
        <v/>
      </c>
      <c r="G147" s="42"/>
    </row>
    <row r="148" customFormat="false" ht="15.75" hidden="false" customHeight="true" outlineLevel="0" collapsed="false">
      <c r="A148" s="41"/>
      <c r="B148" s="42"/>
      <c r="C148" s="42"/>
      <c r="D148" s="43"/>
      <c r="E148" s="44"/>
      <c r="F148" s="45" t="str">
        <f aca="false">IF($B148="","",N($D148)*IF(N($E148)&gt;0,$E148,IFERROR(INDEX(Costos!$I$23:$I$300,MATCH($B148,Costos!$A$23:$A$300,0)),0)))</f>
        <v/>
      </c>
      <c r="G148" s="42"/>
    </row>
    <row r="149" customFormat="false" ht="15.75" hidden="false" customHeight="true" outlineLevel="0" collapsed="false">
      <c r="A149" s="41"/>
      <c r="B149" s="42"/>
      <c r="C149" s="42"/>
      <c r="D149" s="43"/>
      <c r="E149" s="44"/>
      <c r="F149" s="45" t="str">
        <f aca="false">IF($B149="","",N($D149)*IF(N($E149)&gt;0,$E149,IFERROR(INDEX(Costos!$I$23:$I$300,MATCH($B149,Costos!$A$23:$A$300,0)),0)))</f>
        <v/>
      </c>
      <c r="G149" s="42"/>
    </row>
    <row r="150" customFormat="false" ht="15.75" hidden="false" customHeight="true" outlineLevel="0" collapsed="false">
      <c r="A150" s="41"/>
      <c r="B150" s="42"/>
      <c r="C150" s="42"/>
      <c r="D150" s="43"/>
      <c r="E150" s="44"/>
      <c r="F150" s="45" t="str">
        <f aca="false">IF($B150="","",N($D150)*IF(N($E150)&gt;0,$E150,IFERROR(INDEX(Costos!$I$23:$I$300,MATCH($B150,Costos!$A$23:$A$300,0)),0)))</f>
        <v/>
      </c>
      <c r="G150" s="42"/>
    </row>
    <row r="151" customFormat="false" ht="15.75" hidden="false" customHeight="true" outlineLevel="0" collapsed="false">
      <c r="A151" s="41"/>
      <c r="B151" s="42"/>
      <c r="C151" s="42"/>
      <c r="D151" s="43"/>
      <c r="E151" s="44"/>
      <c r="F151" s="45" t="str">
        <f aca="false">IF($B151="","",N($D151)*IF(N($E151)&gt;0,$E151,IFERROR(INDEX(Costos!$I$23:$I$300,MATCH($B151,Costos!$A$23:$A$300,0)),0)))</f>
        <v/>
      </c>
      <c r="G151" s="42"/>
    </row>
    <row r="152" customFormat="false" ht="15.75" hidden="false" customHeight="true" outlineLevel="0" collapsed="false">
      <c r="A152" s="41"/>
      <c r="B152" s="42"/>
      <c r="C152" s="42"/>
      <c r="D152" s="43"/>
      <c r="E152" s="44"/>
      <c r="F152" s="45" t="str">
        <f aca="false">IF($B152="","",N($D152)*IF(N($E152)&gt;0,$E152,IFERROR(INDEX(Costos!$I$23:$I$300,MATCH($B152,Costos!$A$23:$A$300,0)),0)))</f>
        <v/>
      </c>
      <c r="G152" s="42"/>
    </row>
    <row r="153" customFormat="false" ht="15.75" hidden="false" customHeight="true" outlineLevel="0" collapsed="false">
      <c r="A153" s="41"/>
      <c r="B153" s="42"/>
      <c r="C153" s="42"/>
      <c r="D153" s="43"/>
      <c r="E153" s="44"/>
      <c r="F153" s="45" t="str">
        <f aca="false">IF($B153="","",N($D153)*IF(N($E153)&gt;0,$E153,IFERROR(INDEX(Costos!$I$23:$I$300,MATCH($B153,Costos!$A$23:$A$300,0)),0)))</f>
        <v/>
      </c>
      <c r="G153" s="42"/>
    </row>
    <row r="154" customFormat="false" ht="15.75" hidden="false" customHeight="true" outlineLevel="0" collapsed="false">
      <c r="A154" s="41"/>
      <c r="B154" s="42"/>
      <c r="C154" s="42"/>
      <c r="D154" s="43"/>
      <c r="E154" s="44"/>
      <c r="F154" s="45" t="str">
        <f aca="false">IF($B154="","",N($D154)*IF(N($E154)&gt;0,$E154,IFERROR(INDEX(Costos!$I$23:$I$300,MATCH($B154,Costos!$A$23:$A$300,0)),0)))</f>
        <v/>
      </c>
      <c r="G154" s="42"/>
    </row>
    <row r="155" customFormat="false" ht="15.75" hidden="false" customHeight="true" outlineLevel="0" collapsed="false">
      <c r="A155" s="41"/>
      <c r="B155" s="42"/>
      <c r="C155" s="42"/>
      <c r="D155" s="43"/>
      <c r="E155" s="44"/>
      <c r="F155" s="45" t="str">
        <f aca="false">IF($B155="","",N($D155)*IF(N($E155)&gt;0,$E155,IFERROR(INDEX(Costos!$I$23:$I$300,MATCH($B155,Costos!$A$23:$A$300,0)),0)))</f>
        <v/>
      </c>
      <c r="G155" s="42"/>
    </row>
    <row r="156" customFormat="false" ht="15.75" hidden="false" customHeight="true" outlineLevel="0" collapsed="false">
      <c r="A156" s="41"/>
      <c r="B156" s="42"/>
      <c r="C156" s="42"/>
      <c r="D156" s="43"/>
      <c r="E156" s="44"/>
      <c r="F156" s="45" t="str">
        <f aca="false">IF($B156="","",N($D156)*IF(N($E156)&gt;0,$E156,IFERROR(INDEX(Costos!$I$23:$I$300,MATCH($B156,Costos!$A$23:$A$300,0)),0)))</f>
        <v/>
      </c>
      <c r="G156" s="42"/>
    </row>
    <row r="157" customFormat="false" ht="15.75" hidden="false" customHeight="true" outlineLevel="0" collapsed="false">
      <c r="A157" s="41"/>
      <c r="B157" s="42"/>
      <c r="C157" s="42"/>
      <c r="D157" s="43"/>
      <c r="E157" s="44"/>
      <c r="F157" s="45" t="str">
        <f aca="false">IF($B157="","",N($D157)*IF(N($E157)&gt;0,$E157,IFERROR(INDEX(Costos!$I$23:$I$300,MATCH($B157,Costos!$A$23:$A$300,0)),0)))</f>
        <v/>
      </c>
      <c r="G157" s="42"/>
    </row>
    <row r="158" customFormat="false" ht="15.75" hidden="false" customHeight="true" outlineLevel="0" collapsed="false">
      <c r="A158" s="41"/>
      <c r="B158" s="42"/>
      <c r="C158" s="42"/>
      <c r="D158" s="43"/>
      <c r="E158" s="44"/>
      <c r="F158" s="45" t="str">
        <f aca="false">IF($B158="","",N($D158)*IF(N($E158)&gt;0,$E158,IFERROR(INDEX(Costos!$I$23:$I$300,MATCH($B158,Costos!$A$23:$A$300,0)),0)))</f>
        <v/>
      </c>
      <c r="G158" s="42"/>
    </row>
    <row r="159" customFormat="false" ht="15.75" hidden="false" customHeight="true" outlineLevel="0" collapsed="false">
      <c r="A159" s="41"/>
      <c r="B159" s="42"/>
      <c r="C159" s="42"/>
      <c r="D159" s="43"/>
      <c r="E159" s="44"/>
      <c r="F159" s="45" t="str">
        <f aca="false">IF($B159="","",N($D159)*IF(N($E159)&gt;0,$E159,IFERROR(INDEX(Costos!$I$23:$I$300,MATCH($B159,Costos!$A$23:$A$300,0)),0)))</f>
        <v/>
      </c>
      <c r="G159" s="42"/>
    </row>
    <row r="160" customFormat="false" ht="15.75" hidden="false" customHeight="true" outlineLevel="0" collapsed="false">
      <c r="A160" s="41"/>
      <c r="B160" s="42"/>
      <c r="C160" s="42"/>
      <c r="D160" s="43"/>
      <c r="E160" s="44"/>
      <c r="F160" s="45" t="str">
        <f aca="false">IF($B160="","",N($D160)*IF(N($E160)&gt;0,$E160,IFERROR(INDEX(Costos!$I$23:$I$300,MATCH($B160,Costos!$A$23:$A$300,0)),0)))</f>
        <v/>
      </c>
      <c r="G160" s="42"/>
    </row>
    <row r="161" customFormat="false" ht="15.75" hidden="false" customHeight="true" outlineLevel="0" collapsed="false">
      <c r="A161" s="41"/>
      <c r="B161" s="42"/>
      <c r="C161" s="42"/>
      <c r="D161" s="43"/>
      <c r="E161" s="44"/>
      <c r="F161" s="45" t="str">
        <f aca="false">IF($B161="","",N($D161)*IF(N($E161)&gt;0,$E161,IFERROR(INDEX(Costos!$I$23:$I$300,MATCH($B161,Costos!$A$23:$A$300,0)),0)))</f>
        <v/>
      </c>
      <c r="G161" s="42"/>
    </row>
    <row r="162" customFormat="false" ht="15.75" hidden="false" customHeight="true" outlineLevel="0" collapsed="false">
      <c r="A162" s="41"/>
      <c r="B162" s="42"/>
      <c r="C162" s="42"/>
      <c r="D162" s="43"/>
      <c r="E162" s="44"/>
      <c r="F162" s="45" t="str">
        <f aca="false">IF($B162="","",N($D162)*IF(N($E162)&gt;0,$E162,IFERROR(INDEX(Costos!$I$23:$I$300,MATCH($B162,Costos!$A$23:$A$300,0)),0)))</f>
        <v/>
      </c>
      <c r="G162" s="42"/>
    </row>
    <row r="163" customFormat="false" ht="15.75" hidden="false" customHeight="true" outlineLevel="0" collapsed="false">
      <c r="A163" s="41"/>
      <c r="B163" s="42"/>
      <c r="C163" s="42"/>
      <c r="D163" s="43"/>
      <c r="E163" s="44"/>
      <c r="F163" s="45" t="str">
        <f aca="false">IF($B163="","",N($D163)*IF(N($E163)&gt;0,$E163,IFERROR(INDEX(Costos!$I$23:$I$300,MATCH($B163,Costos!$A$23:$A$300,0)),0)))</f>
        <v/>
      </c>
      <c r="G163" s="42"/>
    </row>
    <row r="164" customFormat="false" ht="15.75" hidden="false" customHeight="true" outlineLevel="0" collapsed="false">
      <c r="A164" s="41"/>
      <c r="B164" s="42"/>
      <c r="C164" s="42"/>
      <c r="D164" s="43"/>
      <c r="E164" s="44"/>
      <c r="F164" s="45" t="str">
        <f aca="false">IF($B164="","",N($D164)*IF(N($E164)&gt;0,$E164,IFERROR(INDEX(Costos!$I$23:$I$300,MATCH($B164,Costos!$A$23:$A$300,0)),0)))</f>
        <v/>
      </c>
      <c r="G164" s="42"/>
    </row>
    <row r="165" customFormat="false" ht="15.75" hidden="false" customHeight="true" outlineLevel="0" collapsed="false">
      <c r="A165" s="41"/>
      <c r="B165" s="42"/>
      <c r="C165" s="42"/>
      <c r="D165" s="43"/>
      <c r="E165" s="44"/>
      <c r="F165" s="45" t="str">
        <f aca="false">IF($B165="","",N($D165)*IF(N($E165)&gt;0,$E165,IFERROR(INDEX(Costos!$I$23:$I$300,MATCH($B165,Costos!$A$23:$A$300,0)),0)))</f>
        <v/>
      </c>
      <c r="G165" s="42"/>
    </row>
    <row r="166" customFormat="false" ht="15.75" hidden="false" customHeight="true" outlineLevel="0" collapsed="false">
      <c r="A166" s="41"/>
      <c r="B166" s="42"/>
      <c r="C166" s="42"/>
      <c r="D166" s="43"/>
      <c r="E166" s="44"/>
      <c r="F166" s="45" t="str">
        <f aca="false">IF($B166="","",N($D166)*IF(N($E166)&gt;0,$E166,IFERROR(INDEX(Costos!$I$23:$I$300,MATCH($B166,Costos!$A$23:$A$300,0)),0)))</f>
        <v/>
      </c>
      <c r="G166" s="42"/>
    </row>
    <row r="167" customFormat="false" ht="15.75" hidden="false" customHeight="true" outlineLevel="0" collapsed="false">
      <c r="A167" s="41"/>
      <c r="B167" s="42"/>
      <c r="C167" s="42"/>
      <c r="D167" s="43"/>
      <c r="E167" s="44"/>
      <c r="F167" s="45" t="str">
        <f aca="false">IF($B167="","",N($D167)*IF(N($E167)&gt;0,$E167,IFERROR(INDEX(Costos!$I$23:$I$300,MATCH($B167,Costos!$A$23:$A$300,0)),0)))</f>
        <v/>
      </c>
      <c r="G167" s="42"/>
    </row>
    <row r="168" customFormat="false" ht="15.75" hidden="false" customHeight="true" outlineLevel="0" collapsed="false">
      <c r="A168" s="41"/>
      <c r="B168" s="42"/>
      <c r="C168" s="42"/>
      <c r="D168" s="43"/>
      <c r="E168" s="44"/>
      <c r="F168" s="45" t="str">
        <f aca="false">IF($B168="","",N($D168)*IF(N($E168)&gt;0,$E168,IFERROR(INDEX(Costos!$I$23:$I$300,MATCH($B168,Costos!$A$23:$A$300,0)),0)))</f>
        <v/>
      </c>
      <c r="G168" s="42"/>
    </row>
    <row r="169" customFormat="false" ht="15.75" hidden="false" customHeight="true" outlineLevel="0" collapsed="false">
      <c r="A169" s="41"/>
      <c r="B169" s="42"/>
      <c r="C169" s="42"/>
      <c r="D169" s="43"/>
      <c r="E169" s="44"/>
      <c r="F169" s="45" t="str">
        <f aca="false">IF($B169="","",N($D169)*IF(N($E169)&gt;0,$E169,IFERROR(INDEX(Costos!$I$23:$I$300,MATCH($B169,Costos!$A$23:$A$300,0)),0)))</f>
        <v/>
      </c>
      <c r="G169" s="42"/>
    </row>
    <row r="170" customFormat="false" ht="15.75" hidden="false" customHeight="true" outlineLevel="0" collapsed="false">
      <c r="A170" s="41"/>
      <c r="B170" s="42"/>
      <c r="C170" s="42"/>
      <c r="D170" s="43"/>
      <c r="E170" s="44"/>
      <c r="F170" s="45" t="str">
        <f aca="false">IF($B170="","",N($D170)*IF(N($E170)&gt;0,$E170,IFERROR(INDEX(Costos!$I$23:$I$300,MATCH($B170,Costos!$A$23:$A$300,0)),0)))</f>
        <v/>
      </c>
      <c r="G170" s="42"/>
    </row>
    <row r="171" customFormat="false" ht="15.75" hidden="false" customHeight="true" outlineLevel="0" collapsed="false">
      <c r="A171" s="41"/>
      <c r="B171" s="42"/>
      <c r="C171" s="42"/>
      <c r="D171" s="43"/>
      <c r="E171" s="44"/>
      <c r="F171" s="45" t="str">
        <f aca="false">IF($B171="","",N($D171)*IF(N($E171)&gt;0,$E171,IFERROR(INDEX(Costos!$I$23:$I$300,MATCH($B171,Costos!$A$23:$A$300,0)),0)))</f>
        <v/>
      </c>
      <c r="G171" s="42"/>
    </row>
    <row r="172" customFormat="false" ht="15.75" hidden="false" customHeight="true" outlineLevel="0" collapsed="false">
      <c r="A172" s="41"/>
      <c r="B172" s="42"/>
      <c r="C172" s="42"/>
      <c r="D172" s="43"/>
      <c r="E172" s="44"/>
      <c r="F172" s="45" t="str">
        <f aca="false">IF($B172="","",N($D172)*IF(N($E172)&gt;0,$E172,IFERROR(INDEX(Costos!$I$23:$I$300,MATCH($B172,Costos!$A$23:$A$300,0)),0)))</f>
        <v/>
      </c>
      <c r="G172" s="42"/>
    </row>
    <row r="173" customFormat="false" ht="15.75" hidden="false" customHeight="true" outlineLevel="0" collapsed="false">
      <c r="A173" s="41"/>
      <c r="B173" s="42"/>
      <c r="C173" s="42"/>
      <c r="D173" s="43"/>
      <c r="E173" s="44"/>
      <c r="F173" s="45" t="str">
        <f aca="false">IF($B173="","",N($D173)*IF(N($E173)&gt;0,$E173,IFERROR(INDEX(Costos!$I$23:$I$300,MATCH($B173,Costos!$A$23:$A$300,0)),0)))</f>
        <v/>
      </c>
      <c r="G173" s="42"/>
    </row>
    <row r="174" customFormat="false" ht="15.75" hidden="false" customHeight="true" outlineLevel="0" collapsed="false">
      <c r="A174" s="41"/>
      <c r="B174" s="42"/>
      <c r="C174" s="42"/>
      <c r="D174" s="43"/>
      <c r="E174" s="44"/>
      <c r="F174" s="45" t="str">
        <f aca="false">IF($B174="","",N($D174)*IF(N($E174)&gt;0,$E174,IFERROR(INDEX(Costos!$I$23:$I$300,MATCH($B174,Costos!$A$23:$A$300,0)),0)))</f>
        <v/>
      </c>
      <c r="G174" s="42"/>
    </row>
    <row r="175" customFormat="false" ht="15.75" hidden="false" customHeight="true" outlineLevel="0" collapsed="false">
      <c r="A175" s="41"/>
      <c r="B175" s="42"/>
      <c r="C175" s="42"/>
      <c r="D175" s="43"/>
      <c r="E175" s="44"/>
      <c r="F175" s="45" t="str">
        <f aca="false">IF($B175="","",N($D175)*IF(N($E175)&gt;0,$E175,IFERROR(INDEX(Costos!$I$23:$I$300,MATCH($B175,Costos!$A$23:$A$300,0)),0)))</f>
        <v/>
      </c>
      <c r="G175" s="42"/>
    </row>
    <row r="176" customFormat="false" ht="15.75" hidden="false" customHeight="true" outlineLevel="0" collapsed="false">
      <c r="A176" s="41"/>
      <c r="B176" s="42"/>
      <c r="C176" s="42"/>
      <c r="D176" s="43"/>
      <c r="E176" s="44"/>
      <c r="F176" s="45" t="str">
        <f aca="false">IF($B176="","",N($D176)*IF(N($E176)&gt;0,$E176,IFERROR(INDEX(Costos!$I$23:$I$300,MATCH($B176,Costos!$A$23:$A$300,0)),0)))</f>
        <v/>
      </c>
      <c r="G176" s="42"/>
    </row>
    <row r="177" customFormat="false" ht="15.75" hidden="false" customHeight="true" outlineLevel="0" collapsed="false">
      <c r="A177" s="41"/>
      <c r="B177" s="42"/>
      <c r="C177" s="42"/>
      <c r="D177" s="43"/>
      <c r="E177" s="44"/>
      <c r="F177" s="45" t="str">
        <f aca="false">IF($B177="","",N($D177)*IF(N($E177)&gt;0,$E177,IFERROR(INDEX(Costos!$I$23:$I$300,MATCH($B177,Costos!$A$23:$A$300,0)),0)))</f>
        <v/>
      </c>
      <c r="G177" s="42"/>
    </row>
    <row r="178" customFormat="false" ht="15.75" hidden="false" customHeight="true" outlineLevel="0" collapsed="false">
      <c r="A178" s="41"/>
      <c r="B178" s="42"/>
      <c r="C178" s="42"/>
      <c r="D178" s="43"/>
      <c r="E178" s="44"/>
      <c r="F178" s="45" t="str">
        <f aca="false">IF($B178="","",N($D178)*IF(N($E178)&gt;0,$E178,IFERROR(INDEX(Costos!$I$23:$I$300,MATCH($B178,Costos!$A$23:$A$300,0)),0)))</f>
        <v/>
      </c>
      <c r="G178" s="42"/>
    </row>
    <row r="179" customFormat="false" ht="15.75" hidden="false" customHeight="true" outlineLevel="0" collapsed="false">
      <c r="A179" s="41"/>
      <c r="B179" s="42"/>
      <c r="C179" s="42"/>
      <c r="D179" s="43"/>
      <c r="E179" s="44"/>
      <c r="F179" s="45" t="str">
        <f aca="false">IF($B179="","",N($D179)*IF(N($E179)&gt;0,$E179,IFERROR(INDEX(Costos!$I$23:$I$300,MATCH($B179,Costos!$A$23:$A$300,0)),0)))</f>
        <v/>
      </c>
      <c r="G179" s="42"/>
    </row>
    <row r="180" customFormat="false" ht="15.75" hidden="false" customHeight="true" outlineLevel="0" collapsed="false">
      <c r="A180" s="41"/>
      <c r="B180" s="42"/>
      <c r="C180" s="42"/>
      <c r="D180" s="43"/>
      <c r="E180" s="44"/>
      <c r="F180" s="45" t="str">
        <f aca="false">IF($B180="","",N($D180)*IF(N($E180)&gt;0,$E180,IFERROR(INDEX(Costos!$I$23:$I$300,MATCH($B180,Costos!$A$23:$A$300,0)),0)))</f>
        <v/>
      </c>
      <c r="G180" s="42"/>
    </row>
    <row r="181" customFormat="false" ht="15.75" hidden="false" customHeight="true" outlineLevel="0" collapsed="false">
      <c r="A181" s="41"/>
      <c r="B181" s="42"/>
      <c r="C181" s="42"/>
      <c r="D181" s="43"/>
      <c r="E181" s="44"/>
      <c r="F181" s="45" t="str">
        <f aca="false">IF($B181="","",N($D181)*IF(N($E181)&gt;0,$E181,IFERROR(INDEX(Costos!$I$23:$I$300,MATCH($B181,Costos!$A$23:$A$300,0)),0)))</f>
        <v/>
      </c>
      <c r="G181" s="42"/>
    </row>
    <row r="182" customFormat="false" ht="15.75" hidden="false" customHeight="true" outlineLevel="0" collapsed="false">
      <c r="A182" s="41"/>
      <c r="B182" s="42"/>
      <c r="C182" s="42"/>
      <c r="D182" s="43"/>
      <c r="E182" s="44"/>
      <c r="F182" s="45" t="str">
        <f aca="false">IF($B182="","",N($D182)*IF(N($E182)&gt;0,$E182,IFERROR(INDEX(Costos!$I$23:$I$300,MATCH($B182,Costos!$A$23:$A$300,0)),0)))</f>
        <v/>
      </c>
      <c r="G182" s="42"/>
    </row>
    <row r="183" customFormat="false" ht="15.75" hidden="false" customHeight="true" outlineLevel="0" collapsed="false">
      <c r="A183" s="41"/>
      <c r="B183" s="42"/>
      <c r="C183" s="42"/>
      <c r="D183" s="43"/>
      <c r="E183" s="44"/>
      <c r="F183" s="45" t="str">
        <f aca="false">IF($B183="","",N($D183)*IF(N($E183)&gt;0,$E183,IFERROR(INDEX(Costos!$I$23:$I$300,MATCH($B183,Costos!$A$23:$A$300,0)),0)))</f>
        <v/>
      </c>
      <c r="G183" s="42"/>
    </row>
    <row r="184" customFormat="false" ht="15.75" hidden="false" customHeight="true" outlineLevel="0" collapsed="false">
      <c r="A184" s="41"/>
      <c r="B184" s="42"/>
      <c r="C184" s="42"/>
      <c r="D184" s="43"/>
      <c r="E184" s="44"/>
      <c r="F184" s="45" t="str">
        <f aca="false">IF($B184="","",N($D184)*IF(N($E184)&gt;0,$E184,IFERROR(INDEX(Costos!$I$23:$I$300,MATCH($B184,Costos!$A$23:$A$300,0)),0)))</f>
        <v/>
      </c>
      <c r="G184" s="42"/>
    </row>
    <row r="185" customFormat="false" ht="15.75" hidden="false" customHeight="true" outlineLevel="0" collapsed="false">
      <c r="A185" s="41"/>
      <c r="B185" s="42"/>
      <c r="C185" s="42"/>
      <c r="D185" s="43"/>
      <c r="E185" s="44"/>
      <c r="F185" s="45" t="str">
        <f aca="false">IF($B185="","",N($D185)*IF(N($E185)&gt;0,$E185,IFERROR(INDEX(Costos!$I$23:$I$300,MATCH($B185,Costos!$A$23:$A$300,0)),0)))</f>
        <v/>
      </c>
      <c r="G185" s="42"/>
    </row>
    <row r="186" customFormat="false" ht="15.75" hidden="false" customHeight="true" outlineLevel="0" collapsed="false">
      <c r="A186" s="41"/>
      <c r="B186" s="42"/>
      <c r="C186" s="42"/>
      <c r="D186" s="43"/>
      <c r="E186" s="44"/>
      <c r="F186" s="45" t="str">
        <f aca="false">IF($B186="","",N($D186)*IF(N($E186)&gt;0,$E186,IFERROR(INDEX(Costos!$I$23:$I$300,MATCH($B186,Costos!$A$23:$A$300,0)),0)))</f>
        <v/>
      </c>
      <c r="G186" s="42"/>
    </row>
    <row r="187" customFormat="false" ht="15.75" hidden="false" customHeight="true" outlineLevel="0" collapsed="false">
      <c r="A187" s="41"/>
      <c r="B187" s="42"/>
      <c r="C187" s="42"/>
      <c r="D187" s="43"/>
      <c r="E187" s="44"/>
      <c r="F187" s="45" t="str">
        <f aca="false">IF($B187="","",N($D187)*IF(N($E187)&gt;0,$E187,IFERROR(INDEX(Costos!$I$23:$I$300,MATCH($B187,Costos!$A$23:$A$300,0)),0)))</f>
        <v/>
      </c>
      <c r="G187" s="42"/>
    </row>
    <row r="188" customFormat="false" ht="15.75" hidden="false" customHeight="true" outlineLevel="0" collapsed="false">
      <c r="A188" s="41"/>
      <c r="B188" s="42"/>
      <c r="C188" s="42"/>
      <c r="D188" s="43"/>
      <c r="E188" s="44"/>
      <c r="F188" s="45" t="str">
        <f aca="false">IF($B188="","",N($D188)*IF(N($E188)&gt;0,$E188,IFERROR(INDEX(Costos!$I$23:$I$300,MATCH($B188,Costos!$A$23:$A$300,0)),0)))</f>
        <v/>
      </c>
      <c r="G188" s="42"/>
    </row>
    <row r="189" customFormat="false" ht="15.75" hidden="false" customHeight="true" outlineLevel="0" collapsed="false">
      <c r="A189" s="41"/>
      <c r="B189" s="42"/>
      <c r="C189" s="42"/>
      <c r="D189" s="43"/>
      <c r="E189" s="44"/>
      <c r="F189" s="45" t="str">
        <f aca="false">IF($B189="","",N($D189)*IF(N($E189)&gt;0,$E189,IFERROR(INDEX(Costos!$I$23:$I$300,MATCH($B189,Costos!$A$23:$A$300,0)),0)))</f>
        <v/>
      </c>
      <c r="G189" s="42"/>
    </row>
    <row r="190" customFormat="false" ht="15.75" hidden="false" customHeight="true" outlineLevel="0" collapsed="false">
      <c r="A190" s="41"/>
      <c r="B190" s="42"/>
      <c r="C190" s="42"/>
      <c r="D190" s="43"/>
      <c r="E190" s="44"/>
      <c r="F190" s="45" t="str">
        <f aca="false">IF($B190="","",N($D190)*IF(N($E190)&gt;0,$E190,IFERROR(INDEX(Costos!$I$23:$I$300,MATCH($B190,Costos!$A$23:$A$300,0)),0)))</f>
        <v/>
      </c>
      <c r="G190" s="42"/>
    </row>
    <row r="191" customFormat="false" ht="15.75" hidden="false" customHeight="true" outlineLevel="0" collapsed="false">
      <c r="A191" s="41"/>
      <c r="B191" s="42"/>
      <c r="C191" s="42"/>
      <c r="D191" s="43"/>
      <c r="E191" s="44"/>
      <c r="F191" s="45" t="str">
        <f aca="false">IF($B191="","",N($D191)*IF(N($E191)&gt;0,$E191,IFERROR(INDEX(Costos!$I$23:$I$300,MATCH($B191,Costos!$A$23:$A$300,0)),0)))</f>
        <v/>
      </c>
      <c r="G191" s="42"/>
    </row>
    <row r="192" customFormat="false" ht="15.75" hidden="false" customHeight="true" outlineLevel="0" collapsed="false">
      <c r="A192" s="41"/>
      <c r="B192" s="42"/>
      <c r="C192" s="42"/>
      <c r="D192" s="43"/>
      <c r="E192" s="44"/>
      <c r="F192" s="45" t="str">
        <f aca="false">IF($B192="","",N($D192)*IF(N($E192)&gt;0,$E192,IFERROR(INDEX(Costos!$I$23:$I$300,MATCH($B192,Costos!$A$23:$A$300,0)),0)))</f>
        <v/>
      </c>
      <c r="G192" s="42"/>
    </row>
    <row r="193" customFormat="false" ht="15.75" hidden="false" customHeight="true" outlineLevel="0" collapsed="false">
      <c r="A193" s="41"/>
      <c r="B193" s="42"/>
      <c r="C193" s="42"/>
      <c r="D193" s="43"/>
      <c r="E193" s="44"/>
      <c r="F193" s="45" t="str">
        <f aca="false">IF($B193="","",N($D193)*IF(N($E193)&gt;0,$E193,IFERROR(INDEX(Costos!$I$23:$I$300,MATCH($B193,Costos!$A$23:$A$300,0)),0)))</f>
        <v/>
      </c>
      <c r="G193" s="42"/>
    </row>
    <row r="194" customFormat="false" ht="15.75" hidden="false" customHeight="true" outlineLevel="0" collapsed="false">
      <c r="A194" s="41"/>
      <c r="B194" s="42"/>
      <c r="C194" s="42"/>
      <c r="D194" s="43"/>
      <c r="E194" s="44"/>
      <c r="F194" s="45" t="str">
        <f aca="false">IF($B194="","",N($D194)*IF(N($E194)&gt;0,$E194,IFERROR(INDEX(Costos!$I$23:$I$300,MATCH($B194,Costos!$A$23:$A$300,0)),0)))</f>
        <v/>
      </c>
      <c r="G194" s="42"/>
    </row>
    <row r="195" customFormat="false" ht="15.75" hidden="false" customHeight="true" outlineLevel="0" collapsed="false">
      <c r="A195" s="41"/>
      <c r="B195" s="42"/>
      <c r="C195" s="42"/>
      <c r="D195" s="43"/>
      <c r="E195" s="44"/>
      <c r="F195" s="45" t="str">
        <f aca="false">IF($B195="","",N($D195)*IF(N($E195)&gt;0,$E195,IFERROR(INDEX(Costos!$I$23:$I$300,MATCH($B195,Costos!$A$23:$A$300,0)),0)))</f>
        <v/>
      </c>
      <c r="G195" s="42"/>
    </row>
    <row r="196" customFormat="false" ht="15.75" hidden="false" customHeight="true" outlineLevel="0" collapsed="false">
      <c r="A196" s="41"/>
      <c r="B196" s="42"/>
      <c r="C196" s="42"/>
      <c r="D196" s="43"/>
      <c r="E196" s="44"/>
      <c r="F196" s="45" t="str">
        <f aca="false">IF($B196="","",N($D196)*IF(N($E196)&gt;0,$E196,IFERROR(INDEX(Costos!$I$23:$I$300,MATCH($B196,Costos!$A$23:$A$300,0)),0)))</f>
        <v/>
      </c>
      <c r="G196" s="42"/>
    </row>
    <row r="197" customFormat="false" ht="15.75" hidden="false" customHeight="true" outlineLevel="0" collapsed="false">
      <c r="A197" s="41"/>
      <c r="B197" s="42"/>
      <c r="C197" s="42"/>
      <c r="D197" s="43"/>
      <c r="E197" s="44"/>
      <c r="F197" s="45" t="str">
        <f aca="false">IF($B197="","",N($D197)*IF(N($E197)&gt;0,$E197,IFERROR(INDEX(Costos!$I$23:$I$300,MATCH($B197,Costos!$A$23:$A$300,0)),0)))</f>
        <v/>
      </c>
      <c r="G197" s="42"/>
    </row>
    <row r="198" customFormat="false" ht="15.75" hidden="false" customHeight="true" outlineLevel="0" collapsed="false">
      <c r="A198" s="41"/>
      <c r="B198" s="42"/>
      <c r="C198" s="42"/>
      <c r="D198" s="43"/>
      <c r="E198" s="44"/>
      <c r="F198" s="45" t="str">
        <f aca="false">IF($B198="","",N($D198)*IF(N($E198)&gt;0,$E198,IFERROR(INDEX(Costos!$I$23:$I$300,MATCH($B198,Costos!$A$23:$A$300,0)),0)))</f>
        <v/>
      </c>
      <c r="G198" s="42"/>
    </row>
    <row r="199" customFormat="false" ht="15.75" hidden="false" customHeight="true" outlineLevel="0" collapsed="false">
      <c r="A199" s="41"/>
      <c r="B199" s="42"/>
      <c r="C199" s="42"/>
      <c r="D199" s="43"/>
      <c r="E199" s="44"/>
      <c r="F199" s="45" t="str">
        <f aca="false">IF($B199="","",N($D199)*IF(N($E199)&gt;0,$E199,IFERROR(INDEX(Costos!$I$23:$I$300,MATCH($B199,Costos!$A$23:$A$300,0)),0)))</f>
        <v/>
      </c>
      <c r="G199" s="42"/>
    </row>
    <row r="200" customFormat="false" ht="15.75" hidden="false" customHeight="true" outlineLevel="0" collapsed="false">
      <c r="A200" s="41"/>
      <c r="B200" s="42"/>
      <c r="C200" s="42"/>
      <c r="D200" s="43"/>
      <c r="E200" s="44"/>
      <c r="F200" s="45" t="str">
        <f aca="false">IF($B200="","",N($D200)*IF(N($E200)&gt;0,$E200,IFERROR(INDEX(Costos!$I$23:$I$300,MATCH($B200,Costos!$A$23:$A$300,0)),0)))</f>
        <v/>
      </c>
      <c r="G200" s="42"/>
    </row>
    <row r="201" customFormat="false" ht="15.75" hidden="false" customHeight="true" outlineLevel="0" collapsed="false">
      <c r="A201" s="41"/>
      <c r="B201" s="42"/>
      <c r="C201" s="42"/>
      <c r="D201" s="43"/>
      <c r="E201" s="44"/>
      <c r="F201" s="45" t="str">
        <f aca="false">IF($B201="","",N($D201)*IF(N($E201)&gt;0,$E201,IFERROR(INDEX(Costos!$I$23:$I$300,MATCH($B201,Costos!$A$23:$A$300,0)),0)))</f>
        <v/>
      </c>
      <c r="G201" s="42"/>
    </row>
    <row r="202" customFormat="false" ht="15.75" hidden="false" customHeight="true" outlineLevel="0" collapsed="false">
      <c r="A202" s="41"/>
      <c r="B202" s="42"/>
      <c r="C202" s="42"/>
      <c r="D202" s="43"/>
      <c r="E202" s="44"/>
      <c r="F202" s="45" t="str">
        <f aca="false">IF($B202="","",N($D202)*IF(N($E202)&gt;0,$E202,IFERROR(INDEX(Costos!$I$23:$I$300,MATCH($B202,Costos!$A$23:$A$300,0)),0)))</f>
        <v/>
      </c>
      <c r="G202" s="42"/>
    </row>
    <row r="203" customFormat="false" ht="15.75" hidden="false" customHeight="true" outlineLevel="0" collapsed="false">
      <c r="A203" s="41"/>
      <c r="B203" s="42"/>
      <c r="C203" s="42"/>
      <c r="D203" s="43"/>
      <c r="E203" s="44"/>
      <c r="F203" s="45" t="str">
        <f aca="false">IF($B203="","",N($D203)*IF(N($E203)&gt;0,$E203,IFERROR(INDEX(Costos!$I$23:$I$300,MATCH($B203,Costos!$A$23:$A$300,0)),0)))</f>
        <v/>
      </c>
      <c r="G203" s="42"/>
    </row>
    <row r="204" customFormat="false" ht="15.75" hidden="false" customHeight="true" outlineLevel="0" collapsed="false">
      <c r="A204" s="41"/>
      <c r="B204" s="42"/>
      <c r="C204" s="42"/>
      <c r="D204" s="43"/>
      <c r="E204" s="44"/>
      <c r="F204" s="45" t="str">
        <f aca="false">IF($B204="","",N($D204)*IF(N($E204)&gt;0,$E204,IFERROR(INDEX(Costos!$I$23:$I$300,MATCH($B204,Costos!$A$23:$A$300,0)),0)))</f>
        <v/>
      </c>
      <c r="G204" s="42"/>
    </row>
    <row r="205" customFormat="false" ht="15.75" hidden="false" customHeight="true" outlineLevel="0" collapsed="false">
      <c r="A205" s="41"/>
      <c r="B205" s="42"/>
      <c r="C205" s="42"/>
      <c r="D205" s="43"/>
      <c r="E205" s="44"/>
      <c r="F205" s="45" t="str">
        <f aca="false">IF($B205="","",N($D205)*IF(N($E205)&gt;0,$E205,IFERROR(INDEX(Costos!$I$23:$I$300,MATCH($B205,Costos!$A$23:$A$300,0)),0)))</f>
        <v/>
      </c>
      <c r="G205" s="42"/>
    </row>
    <row r="206" customFormat="false" ht="15.75" hidden="false" customHeight="true" outlineLevel="0" collapsed="false">
      <c r="A206" s="41"/>
      <c r="B206" s="42"/>
      <c r="C206" s="42"/>
      <c r="D206" s="43"/>
      <c r="E206" s="44"/>
      <c r="F206" s="45" t="str">
        <f aca="false">IF($B206="","",N($D206)*IF(N($E206)&gt;0,$E206,IFERROR(INDEX(Costos!$I$23:$I$300,MATCH($B206,Costos!$A$23:$A$300,0)),0)))</f>
        <v/>
      </c>
      <c r="G206" s="42"/>
    </row>
    <row r="207" customFormat="false" ht="15.75" hidden="false" customHeight="true" outlineLevel="0" collapsed="false">
      <c r="A207" s="41"/>
      <c r="B207" s="42"/>
      <c r="C207" s="42"/>
      <c r="D207" s="43"/>
      <c r="E207" s="44"/>
      <c r="F207" s="45" t="str">
        <f aca="false">IF($B207="","",N($D207)*IF(N($E207)&gt;0,$E207,IFERROR(INDEX(Costos!$I$23:$I$300,MATCH($B207,Costos!$A$23:$A$300,0)),0)))</f>
        <v/>
      </c>
      <c r="G207" s="42"/>
    </row>
    <row r="208" customFormat="false" ht="15.75" hidden="false" customHeight="true" outlineLevel="0" collapsed="false">
      <c r="A208" s="41"/>
      <c r="B208" s="42"/>
      <c r="C208" s="42"/>
      <c r="D208" s="43"/>
      <c r="E208" s="44"/>
      <c r="F208" s="45" t="str">
        <f aca="false">IF($B208="","",N($D208)*IF(N($E208)&gt;0,$E208,IFERROR(INDEX(Costos!$I$23:$I$300,MATCH($B208,Costos!$A$23:$A$300,0)),0)))</f>
        <v/>
      </c>
      <c r="G208" s="42"/>
    </row>
    <row r="209" customFormat="false" ht="15.75" hidden="false" customHeight="true" outlineLevel="0" collapsed="false">
      <c r="A209" s="41"/>
      <c r="B209" s="42"/>
      <c r="C209" s="42"/>
      <c r="D209" s="43"/>
      <c r="E209" s="44"/>
      <c r="F209" s="45" t="str">
        <f aca="false">IF($B209="","",N($D209)*IF(N($E209)&gt;0,$E209,IFERROR(INDEX(Costos!$I$23:$I$300,MATCH($B209,Costos!$A$23:$A$300,0)),0)))</f>
        <v/>
      </c>
      <c r="G209" s="42"/>
    </row>
    <row r="210" customFormat="false" ht="15.75" hidden="false" customHeight="true" outlineLevel="0" collapsed="false">
      <c r="A210" s="41"/>
      <c r="B210" s="42"/>
      <c r="C210" s="42"/>
      <c r="D210" s="43"/>
      <c r="E210" s="44"/>
      <c r="F210" s="45" t="str">
        <f aca="false">IF($B210="","",N($D210)*IF(N($E210)&gt;0,$E210,IFERROR(INDEX(Costos!$I$23:$I$300,MATCH($B210,Costos!$A$23:$A$300,0)),0)))</f>
        <v/>
      </c>
      <c r="G210" s="42"/>
    </row>
    <row r="211" customFormat="false" ht="15.75" hidden="false" customHeight="true" outlineLevel="0" collapsed="false">
      <c r="A211" s="41"/>
      <c r="B211" s="42"/>
      <c r="C211" s="42"/>
      <c r="D211" s="43"/>
      <c r="E211" s="44"/>
      <c r="F211" s="45" t="str">
        <f aca="false">IF($B211="","",N($D211)*IF(N($E211)&gt;0,$E211,IFERROR(INDEX(Costos!$I$23:$I$300,MATCH($B211,Costos!$A$23:$A$300,0)),0)))</f>
        <v/>
      </c>
      <c r="G211" s="42"/>
    </row>
    <row r="212" customFormat="false" ht="15.75" hidden="false" customHeight="true" outlineLevel="0" collapsed="false">
      <c r="A212" s="41"/>
      <c r="B212" s="42"/>
      <c r="C212" s="42"/>
      <c r="D212" s="43"/>
      <c r="E212" s="44"/>
      <c r="F212" s="45" t="str">
        <f aca="false">IF($B212="","",N($D212)*IF(N($E212)&gt;0,$E212,IFERROR(INDEX(Costos!$I$23:$I$300,MATCH($B212,Costos!$A$23:$A$300,0)),0)))</f>
        <v/>
      </c>
      <c r="G212" s="42"/>
    </row>
    <row r="213" customFormat="false" ht="15.75" hidden="false" customHeight="true" outlineLevel="0" collapsed="false">
      <c r="A213" s="41"/>
      <c r="B213" s="42"/>
      <c r="C213" s="42"/>
      <c r="D213" s="43"/>
      <c r="E213" s="44"/>
      <c r="F213" s="45" t="str">
        <f aca="false">IF($B213="","",N($D213)*IF(N($E213)&gt;0,$E213,IFERROR(INDEX(Costos!$I$23:$I$300,MATCH($B213,Costos!$A$23:$A$300,0)),0)))</f>
        <v/>
      </c>
      <c r="G213" s="42"/>
    </row>
    <row r="214" customFormat="false" ht="15.75" hidden="false" customHeight="true" outlineLevel="0" collapsed="false">
      <c r="A214" s="41"/>
      <c r="B214" s="42"/>
      <c r="C214" s="42"/>
      <c r="D214" s="43"/>
      <c r="E214" s="44"/>
      <c r="F214" s="45" t="str">
        <f aca="false">IF($B214="","",N($D214)*IF(N($E214)&gt;0,$E214,IFERROR(INDEX(Costos!$I$23:$I$300,MATCH($B214,Costos!$A$23:$A$300,0)),0)))</f>
        <v/>
      </c>
      <c r="G214" s="42"/>
    </row>
    <row r="215" customFormat="false" ht="15.75" hidden="false" customHeight="true" outlineLevel="0" collapsed="false">
      <c r="A215" s="41"/>
      <c r="B215" s="42"/>
      <c r="C215" s="42"/>
      <c r="D215" s="43"/>
      <c r="E215" s="44"/>
      <c r="F215" s="45" t="str">
        <f aca="false">IF($B215="","",N($D215)*IF(N($E215)&gt;0,$E215,IFERROR(INDEX(Costos!$I$23:$I$300,MATCH($B215,Costos!$A$23:$A$300,0)),0)))</f>
        <v/>
      </c>
      <c r="G215" s="42"/>
    </row>
    <row r="216" customFormat="false" ht="15.75" hidden="false" customHeight="true" outlineLevel="0" collapsed="false">
      <c r="A216" s="41"/>
      <c r="B216" s="42"/>
      <c r="C216" s="42"/>
      <c r="D216" s="43"/>
      <c r="E216" s="44"/>
      <c r="F216" s="45" t="str">
        <f aca="false">IF($B216="","",N($D216)*IF(N($E216)&gt;0,$E216,IFERROR(INDEX(Costos!$I$23:$I$300,MATCH($B216,Costos!$A$23:$A$300,0)),0)))</f>
        <v/>
      </c>
      <c r="G216" s="42"/>
    </row>
    <row r="217" customFormat="false" ht="15.75" hidden="false" customHeight="true" outlineLevel="0" collapsed="false">
      <c r="A217" s="41"/>
      <c r="B217" s="42"/>
      <c r="C217" s="42"/>
      <c r="D217" s="43"/>
      <c r="E217" s="44"/>
      <c r="F217" s="45" t="str">
        <f aca="false">IF($B217="","",N($D217)*IF(N($E217)&gt;0,$E217,IFERROR(INDEX(Costos!$I$23:$I$300,MATCH($B217,Costos!$A$23:$A$300,0)),0)))</f>
        <v/>
      </c>
      <c r="G217" s="42"/>
    </row>
    <row r="218" customFormat="false" ht="15.75" hidden="false" customHeight="true" outlineLevel="0" collapsed="false">
      <c r="A218" s="41"/>
      <c r="B218" s="42"/>
      <c r="C218" s="42"/>
      <c r="D218" s="43"/>
      <c r="E218" s="44"/>
      <c r="F218" s="45" t="str">
        <f aca="false">IF($B218="","",N($D218)*IF(N($E218)&gt;0,$E218,IFERROR(INDEX(Costos!$I$23:$I$300,MATCH($B218,Costos!$A$23:$A$300,0)),0)))</f>
        <v/>
      </c>
      <c r="G218" s="42"/>
    </row>
    <row r="219" customFormat="false" ht="15.75" hidden="false" customHeight="true" outlineLevel="0" collapsed="false">
      <c r="A219" s="41"/>
      <c r="B219" s="42"/>
      <c r="C219" s="42"/>
      <c r="D219" s="43"/>
      <c r="E219" s="44"/>
      <c r="F219" s="45" t="str">
        <f aca="false">IF($B219="","",N($D219)*IF(N($E219)&gt;0,$E219,IFERROR(INDEX(Costos!$I$23:$I$300,MATCH($B219,Costos!$A$23:$A$300,0)),0)))</f>
        <v/>
      </c>
      <c r="G219" s="42"/>
    </row>
    <row r="220" customFormat="false" ht="15.75" hidden="false" customHeight="true" outlineLevel="0" collapsed="false">
      <c r="A220" s="41"/>
      <c r="B220" s="42"/>
      <c r="C220" s="42"/>
      <c r="D220" s="43"/>
      <c r="E220" s="44"/>
      <c r="F220" s="45" t="str">
        <f aca="false">IF($B220="","",N($D220)*IF(N($E220)&gt;0,$E220,IFERROR(INDEX(Costos!$I$23:$I$300,MATCH($B220,Costos!$A$23:$A$300,0)),0)))</f>
        <v/>
      </c>
      <c r="G220" s="42"/>
    </row>
    <row r="221" customFormat="false" ht="15.75" hidden="false" customHeight="true" outlineLevel="0" collapsed="false">
      <c r="A221" s="41"/>
      <c r="B221" s="42"/>
      <c r="C221" s="42"/>
      <c r="D221" s="43"/>
      <c r="E221" s="44"/>
      <c r="F221" s="45" t="str">
        <f aca="false">IF($B221="","",N($D221)*IF(N($E221)&gt;0,$E221,IFERROR(INDEX(Costos!$I$23:$I$300,MATCH($B221,Costos!$A$23:$A$300,0)),0)))</f>
        <v/>
      </c>
      <c r="G221" s="42"/>
    </row>
    <row r="222" customFormat="false" ht="15.75" hidden="false" customHeight="true" outlineLevel="0" collapsed="false">
      <c r="A222" s="41"/>
      <c r="B222" s="42"/>
      <c r="C222" s="42"/>
      <c r="D222" s="43"/>
      <c r="E222" s="44"/>
      <c r="F222" s="45" t="str">
        <f aca="false">IF($B222="","",N($D222)*IF(N($E222)&gt;0,$E222,IFERROR(INDEX(Costos!$I$23:$I$300,MATCH($B222,Costos!$A$23:$A$300,0)),0)))</f>
        <v/>
      </c>
      <c r="G222" s="42"/>
    </row>
    <row r="223" customFormat="false" ht="15.75" hidden="false" customHeight="true" outlineLevel="0" collapsed="false">
      <c r="A223" s="41"/>
      <c r="B223" s="42"/>
      <c r="C223" s="42"/>
      <c r="D223" s="43"/>
      <c r="E223" s="44"/>
      <c r="F223" s="45" t="str">
        <f aca="false">IF($B223="","",N($D223)*IF(N($E223)&gt;0,$E223,IFERROR(INDEX(Costos!$I$23:$I$300,MATCH($B223,Costos!$A$23:$A$300,0)),0)))</f>
        <v/>
      </c>
      <c r="G223" s="42"/>
    </row>
    <row r="224" customFormat="false" ht="15.75" hidden="false" customHeight="true" outlineLevel="0" collapsed="false">
      <c r="A224" s="41"/>
      <c r="B224" s="42"/>
      <c r="C224" s="42"/>
      <c r="D224" s="43"/>
      <c r="E224" s="44"/>
      <c r="F224" s="45" t="str">
        <f aca="false">IF($B224="","",N($D224)*IF(N($E224)&gt;0,$E224,IFERROR(INDEX(Costos!$I$23:$I$300,MATCH($B224,Costos!$A$23:$A$300,0)),0)))</f>
        <v/>
      </c>
      <c r="G224" s="42"/>
    </row>
    <row r="225" customFormat="false" ht="15.75" hidden="false" customHeight="true" outlineLevel="0" collapsed="false">
      <c r="A225" s="41"/>
      <c r="B225" s="42"/>
      <c r="C225" s="42"/>
      <c r="D225" s="43"/>
      <c r="E225" s="44"/>
      <c r="F225" s="45" t="str">
        <f aca="false">IF($B225="","",N($D225)*IF(N($E225)&gt;0,$E225,IFERROR(INDEX(Costos!$I$23:$I$300,MATCH($B225,Costos!$A$23:$A$300,0)),0)))</f>
        <v/>
      </c>
      <c r="G225" s="42"/>
    </row>
    <row r="226" customFormat="false" ht="15.75" hidden="false" customHeight="true" outlineLevel="0" collapsed="false">
      <c r="A226" s="41"/>
      <c r="B226" s="42"/>
      <c r="C226" s="42"/>
      <c r="D226" s="43"/>
      <c r="E226" s="44"/>
      <c r="F226" s="45" t="str">
        <f aca="false">IF($B226="","",N($D226)*IF(N($E226)&gt;0,$E226,IFERROR(INDEX(Costos!$I$23:$I$300,MATCH($B226,Costos!$A$23:$A$300,0)),0)))</f>
        <v/>
      </c>
      <c r="G226" s="42"/>
    </row>
    <row r="227" customFormat="false" ht="15.75" hidden="false" customHeight="true" outlineLevel="0" collapsed="false">
      <c r="A227" s="41"/>
      <c r="B227" s="42"/>
      <c r="C227" s="42"/>
      <c r="D227" s="43"/>
      <c r="E227" s="44"/>
      <c r="F227" s="45" t="str">
        <f aca="false">IF($B227="","",N($D227)*IF(N($E227)&gt;0,$E227,IFERROR(INDEX(Costos!$I$23:$I$300,MATCH($B227,Costos!$A$23:$A$300,0)),0)))</f>
        <v/>
      </c>
      <c r="G227" s="42"/>
    </row>
    <row r="228" customFormat="false" ht="15.75" hidden="false" customHeight="true" outlineLevel="0" collapsed="false">
      <c r="A228" s="41"/>
      <c r="B228" s="42"/>
      <c r="C228" s="42"/>
      <c r="D228" s="43"/>
      <c r="E228" s="44"/>
      <c r="F228" s="45" t="str">
        <f aca="false">IF($B228="","",N($D228)*IF(N($E228)&gt;0,$E228,IFERROR(INDEX(Costos!$I$23:$I$300,MATCH($B228,Costos!$A$23:$A$300,0)),0)))</f>
        <v/>
      </c>
      <c r="G228" s="42"/>
    </row>
    <row r="229" customFormat="false" ht="15.75" hidden="false" customHeight="true" outlineLevel="0" collapsed="false">
      <c r="A229" s="41"/>
      <c r="B229" s="42"/>
      <c r="C229" s="42"/>
      <c r="D229" s="43"/>
      <c r="E229" s="44"/>
      <c r="F229" s="45" t="str">
        <f aca="false">IF($B229="","",N($D229)*IF(N($E229)&gt;0,$E229,IFERROR(INDEX(Costos!$I$23:$I$300,MATCH($B229,Costos!$A$23:$A$300,0)),0)))</f>
        <v/>
      </c>
      <c r="G229" s="42"/>
    </row>
    <row r="230" customFormat="false" ht="15.75" hidden="false" customHeight="true" outlineLevel="0" collapsed="false">
      <c r="A230" s="41"/>
      <c r="B230" s="42"/>
      <c r="C230" s="42"/>
      <c r="D230" s="43"/>
      <c r="E230" s="44"/>
      <c r="F230" s="45" t="str">
        <f aca="false">IF($B230="","",N($D230)*IF(N($E230)&gt;0,$E230,IFERROR(INDEX(Costos!$I$23:$I$300,MATCH($B230,Costos!$A$23:$A$300,0)),0)))</f>
        <v/>
      </c>
      <c r="G230" s="42"/>
    </row>
    <row r="231" customFormat="false" ht="15.75" hidden="false" customHeight="true" outlineLevel="0" collapsed="false">
      <c r="A231" s="41"/>
      <c r="B231" s="42"/>
      <c r="C231" s="42"/>
      <c r="D231" s="43"/>
      <c r="E231" s="44"/>
      <c r="F231" s="45" t="str">
        <f aca="false">IF($B231="","",N($D231)*IF(N($E231)&gt;0,$E231,IFERROR(INDEX(Costos!$I$23:$I$300,MATCH($B231,Costos!$A$23:$A$300,0)),0)))</f>
        <v/>
      </c>
      <c r="G231" s="42"/>
    </row>
    <row r="232" customFormat="false" ht="15.75" hidden="false" customHeight="true" outlineLevel="0" collapsed="false">
      <c r="A232" s="41"/>
      <c r="B232" s="42"/>
      <c r="C232" s="42"/>
      <c r="D232" s="43"/>
      <c r="E232" s="44"/>
      <c r="F232" s="45" t="str">
        <f aca="false">IF($B232="","",N($D232)*IF(N($E232)&gt;0,$E232,IFERROR(INDEX(Costos!$I$23:$I$300,MATCH($B232,Costos!$A$23:$A$300,0)),0)))</f>
        <v/>
      </c>
      <c r="G232" s="42"/>
    </row>
    <row r="233" customFormat="false" ht="15.75" hidden="false" customHeight="true" outlineLevel="0" collapsed="false">
      <c r="A233" s="41"/>
      <c r="B233" s="42"/>
      <c r="C233" s="42"/>
      <c r="D233" s="43"/>
      <c r="E233" s="44"/>
      <c r="F233" s="45" t="str">
        <f aca="false">IF($B233="","",N($D233)*IF(N($E233)&gt;0,$E233,IFERROR(INDEX(Costos!$I$23:$I$300,MATCH($B233,Costos!$A$23:$A$300,0)),0)))</f>
        <v/>
      </c>
      <c r="G233" s="42"/>
    </row>
    <row r="234" customFormat="false" ht="15.75" hidden="false" customHeight="true" outlineLevel="0" collapsed="false">
      <c r="A234" s="41"/>
      <c r="B234" s="42"/>
      <c r="C234" s="42"/>
      <c r="D234" s="43"/>
      <c r="E234" s="44"/>
      <c r="F234" s="45" t="str">
        <f aca="false">IF($B234="","",N($D234)*IF(N($E234)&gt;0,$E234,IFERROR(INDEX(Costos!$I$23:$I$300,MATCH($B234,Costos!$A$23:$A$300,0)),0)))</f>
        <v/>
      </c>
      <c r="G234" s="42"/>
    </row>
    <row r="235" customFormat="false" ht="15.75" hidden="false" customHeight="true" outlineLevel="0" collapsed="false">
      <c r="A235" s="41"/>
      <c r="B235" s="42"/>
      <c r="C235" s="42"/>
      <c r="D235" s="43"/>
      <c r="E235" s="44"/>
      <c r="F235" s="45" t="str">
        <f aca="false">IF($B235="","",N($D235)*IF(N($E235)&gt;0,$E235,IFERROR(INDEX(Costos!$I$23:$I$300,MATCH($B235,Costos!$A$23:$A$300,0)),0)))</f>
        <v/>
      </c>
      <c r="G235" s="42"/>
    </row>
    <row r="236" customFormat="false" ht="15.75" hidden="false" customHeight="true" outlineLevel="0" collapsed="false">
      <c r="A236" s="41"/>
      <c r="B236" s="42"/>
      <c r="C236" s="42"/>
      <c r="D236" s="43"/>
      <c r="E236" s="44"/>
      <c r="F236" s="45" t="str">
        <f aca="false">IF($B236="","",N($D236)*IF(N($E236)&gt;0,$E236,IFERROR(INDEX(Costos!$I$23:$I$300,MATCH($B236,Costos!$A$23:$A$300,0)),0)))</f>
        <v/>
      </c>
      <c r="G236" s="42"/>
    </row>
    <row r="237" customFormat="false" ht="15.75" hidden="false" customHeight="true" outlineLevel="0" collapsed="false">
      <c r="A237" s="41"/>
      <c r="B237" s="42"/>
      <c r="C237" s="42"/>
      <c r="D237" s="43"/>
      <c r="E237" s="44"/>
      <c r="F237" s="45" t="str">
        <f aca="false">IF($B237="","",N($D237)*IF(N($E237)&gt;0,$E237,IFERROR(INDEX(Costos!$I$23:$I$300,MATCH($B237,Costos!$A$23:$A$300,0)),0)))</f>
        <v/>
      </c>
      <c r="G237" s="42"/>
    </row>
    <row r="238" customFormat="false" ht="15.75" hidden="false" customHeight="true" outlineLevel="0" collapsed="false">
      <c r="A238" s="41"/>
      <c r="B238" s="42"/>
      <c r="C238" s="42"/>
      <c r="D238" s="43"/>
      <c r="E238" s="44"/>
      <c r="F238" s="45" t="str">
        <f aca="false">IF($B238="","",N($D238)*IF(N($E238)&gt;0,$E238,IFERROR(INDEX(Costos!$I$23:$I$300,MATCH($B238,Costos!$A$23:$A$300,0)),0)))</f>
        <v/>
      </c>
      <c r="G238" s="42"/>
    </row>
    <row r="239" customFormat="false" ht="15.75" hidden="false" customHeight="true" outlineLevel="0" collapsed="false">
      <c r="A239" s="41"/>
      <c r="B239" s="42"/>
      <c r="C239" s="42"/>
      <c r="D239" s="43"/>
      <c r="E239" s="44"/>
      <c r="F239" s="45" t="str">
        <f aca="false">IF($B239="","",N($D239)*IF(N($E239)&gt;0,$E239,IFERROR(INDEX(Costos!$I$23:$I$300,MATCH($B239,Costos!$A$23:$A$300,0)),0)))</f>
        <v/>
      </c>
      <c r="G239" s="42"/>
    </row>
    <row r="240" customFormat="false" ht="15.75" hidden="false" customHeight="true" outlineLevel="0" collapsed="false">
      <c r="A240" s="41"/>
      <c r="B240" s="42"/>
      <c r="C240" s="42"/>
      <c r="D240" s="43"/>
      <c r="E240" s="44"/>
      <c r="F240" s="45" t="str">
        <f aca="false">IF($B240="","",N($D240)*IF(N($E240)&gt;0,$E240,IFERROR(INDEX(Costos!$I$23:$I$300,MATCH($B240,Costos!$A$23:$A$300,0)),0)))</f>
        <v/>
      </c>
      <c r="G240" s="42"/>
    </row>
    <row r="241" customFormat="false" ht="15.75" hidden="false" customHeight="true" outlineLevel="0" collapsed="false">
      <c r="A241" s="41"/>
      <c r="B241" s="42"/>
      <c r="C241" s="42"/>
      <c r="D241" s="43"/>
      <c r="E241" s="44"/>
      <c r="F241" s="45" t="str">
        <f aca="false">IF($B241="","",N($D241)*IF(N($E241)&gt;0,$E241,IFERROR(INDEX(Costos!$I$23:$I$300,MATCH($B241,Costos!$A$23:$A$300,0)),0)))</f>
        <v/>
      </c>
      <c r="G241" s="42"/>
    </row>
    <row r="242" customFormat="false" ht="15.75" hidden="false" customHeight="true" outlineLevel="0" collapsed="false">
      <c r="A242" s="41"/>
      <c r="B242" s="42"/>
      <c r="C242" s="42"/>
      <c r="D242" s="43"/>
      <c r="E242" s="44"/>
      <c r="F242" s="45" t="str">
        <f aca="false">IF($B242="","",N($D242)*IF(N($E242)&gt;0,$E242,IFERROR(INDEX(Costos!$I$23:$I$300,MATCH($B242,Costos!$A$23:$A$300,0)),0)))</f>
        <v/>
      </c>
      <c r="G242" s="42"/>
    </row>
    <row r="243" customFormat="false" ht="15.75" hidden="false" customHeight="true" outlineLevel="0" collapsed="false">
      <c r="A243" s="41"/>
      <c r="B243" s="42"/>
      <c r="C243" s="42"/>
      <c r="D243" s="43"/>
      <c r="E243" s="44"/>
      <c r="F243" s="45" t="str">
        <f aca="false">IF($B243="","",N($D243)*IF(N($E243)&gt;0,$E243,IFERROR(INDEX(Costos!$I$23:$I$300,MATCH($B243,Costos!$A$23:$A$300,0)),0)))</f>
        <v/>
      </c>
      <c r="G243" s="42"/>
    </row>
    <row r="244" customFormat="false" ht="15.75" hidden="false" customHeight="true" outlineLevel="0" collapsed="false">
      <c r="A244" s="41"/>
      <c r="B244" s="42"/>
      <c r="C244" s="42"/>
      <c r="D244" s="43"/>
      <c r="E244" s="44"/>
      <c r="F244" s="45" t="str">
        <f aca="false">IF($B244="","",N($D244)*IF(N($E244)&gt;0,$E244,IFERROR(INDEX(Costos!$I$23:$I$300,MATCH($B244,Costos!$A$23:$A$300,0)),0)))</f>
        <v/>
      </c>
      <c r="G244" s="42"/>
    </row>
    <row r="245" customFormat="false" ht="15.75" hidden="false" customHeight="true" outlineLevel="0" collapsed="false">
      <c r="A245" s="41"/>
      <c r="B245" s="42"/>
      <c r="C245" s="42"/>
      <c r="D245" s="43"/>
      <c r="E245" s="44"/>
      <c r="F245" s="45" t="str">
        <f aca="false">IF($B245="","",N($D245)*IF(N($E245)&gt;0,$E245,IFERROR(INDEX(Costos!$I$23:$I$300,MATCH($B245,Costos!$A$23:$A$300,0)),0)))</f>
        <v/>
      </c>
      <c r="G245" s="42"/>
    </row>
    <row r="246" customFormat="false" ht="15.75" hidden="false" customHeight="true" outlineLevel="0" collapsed="false">
      <c r="A246" s="41"/>
      <c r="B246" s="42"/>
      <c r="C246" s="42"/>
      <c r="D246" s="43"/>
      <c r="E246" s="44"/>
      <c r="F246" s="45" t="str">
        <f aca="false">IF($B246="","",N($D246)*IF(N($E246)&gt;0,$E246,IFERROR(INDEX(Costos!$I$23:$I$300,MATCH($B246,Costos!$A$23:$A$300,0)),0)))</f>
        <v/>
      </c>
      <c r="G246" s="42"/>
    </row>
    <row r="247" customFormat="false" ht="15.75" hidden="false" customHeight="true" outlineLevel="0" collapsed="false">
      <c r="A247" s="41"/>
      <c r="B247" s="42"/>
      <c r="C247" s="42"/>
      <c r="D247" s="43"/>
      <c r="E247" s="44"/>
      <c r="F247" s="45" t="str">
        <f aca="false">IF($B247="","",N($D247)*IF(N($E247)&gt;0,$E247,IFERROR(INDEX(Costos!$I$23:$I$300,MATCH($B247,Costos!$A$23:$A$300,0)),0)))</f>
        <v/>
      </c>
      <c r="G247" s="42"/>
    </row>
    <row r="248" customFormat="false" ht="15.75" hidden="false" customHeight="true" outlineLevel="0" collapsed="false">
      <c r="A248" s="41"/>
      <c r="B248" s="42"/>
      <c r="C248" s="42"/>
      <c r="D248" s="43"/>
      <c r="E248" s="44"/>
      <c r="F248" s="45" t="str">
        <f aca="false">IF($B248="","",N($D248)*IF(N($E248)&gt;0,$E248,IFERROR(INDEX(Costos!$I$23:$I$300,MATCH($B248,Costos!$A$23:$A$300,0)),0)))</f>
        <v/>
      </c>
      <c r="G248" s="42"/>
    </row>
    <row r="249" customFormat="false" ht="15.75" hidden="false" customHeight="true" outlineLevel="0" collapsed="false">
      <c r="A249" s="41"/>
      <c r="B249" s="42"/>
      <c r="C249" s="42"/>
      <c r="D249" s="43"/>
      <c r="E249" s="44"/>
      <c r="F249" s="45" t="str">
        <f aca="false">IF($B249="","",N($D249)*IF(N($E249)&gt;0,$E249,IFERROR(INDEX(Costos!$I$23:$I$300,MATCH($B249,Costos!$A$23:$A$300,0)),0)))</f>
        <v/>
      </c>
      <c r="G249" s="42"/>
    </row>
    <row r="250" customFormat="false" ht="15.75" hidden="false" customHeight="true" outlineLevel="0" collapsed="false">
      <c r="A250" s="41"/>
      <c r="B250" s="42"/>
      <c r="C250" s="42"/>
      <c r="D250" s="43"/>
      <c r="E250" s="44"/>
      <c r="F250" s="45" t="str">
        <f aca="false">IF($B250="","",N($D250)*IF(N($E250)&gt;0,$E250,IFERROR(INDEX(Costos!$I$23:$I$300,MATCH($B250,Costos!$A$23:$A$300,0)),0)))</f>
        <v/>
      </c>
      <c r="G250" s="42"/>
    </row>
    <row r="251" customFormat="false" ht="15.75" hidden="false" customHeight="true" outlineLevel="0" collapsed="false">
      <c r="A251" s="41"/>
      <c r="B251" s="42"/>
      <c r="C251" s="42"/>
      <c r="D251" s="43"/>
      <c r="E251" s="44"/>
      <c r="F251" s="45" t="str">
        <f aca="false">IF($B251="","",N($D251)*IF(N($E251)&gt;0,$E251,IFERROR(INDEX(Costos!$I$23:$I$300,MATCH($B251,Costos!$A$23:$A$300,0)),0)))</f>
        <v/>
      </c>
      <c r="G251" s="42"/>
    </row>
    <row r="252" customFormat="false" ht="15.75" hidden="false" customHeight="true" outlineLevel="0" collapsed="false">
      <c r="A252" s="41"/>
      <c r="B252" s="42"/>
      <c r="C252" s="42"/>
      <c r="D252" s="43"/>
      <c r="E252" s="44"/>
      <c r="F252" s="45" t="str">
        <f aca="false">IF($B252="","",N($D252)*IF(N($E252)&gt;0,$E252,IFERROR(INDEX(Costos!$I$23:$I$300,MATCH($B252,Costos!$A$23:$A$300,0)),0)))</f>
        <v/>
      </c>
      <c r="G252" s="42"/>
    </row>
    <row r="253" customFormat="false" ht="15.75" hidden="false" customHeight="true" outlineLevel="0" collapsed="false">
      <c r="A253" s="41"/>
      <c r="B253" s="42"/>
      <c r="C253" s="42"/>
      <c r="D253" s="43"/>
      <c r="E253" s="44"/>
      <c r="F253" s="45" t="str">
        <f aca="false">IF($B253="","",N($D253)*IF(N($E253)&gt;0,$E253,IFERROR(INDEX(Costos!$I$23:$I$300,MATCH($B253,Costos!$A$23:$A$300,0)),0)))</f>
        <v/>
      </c>
      <c r="G253" s="42"/>
    </row>
    <row r="254" customFormat="false" ht="15.75" hidden="false" customHeight="true" outlineLevel="0" collapsed="false">
      <c r="A254" s="41"/>
      <c r="B254" s="42"/>
      <c r="C254" s="42"/>
      <c r="D254" s="43"/>
      <c r="E254" s="44"/>
      <c r="F254" s="45" t="str">
        <f aca="false">IF($B254="","",N($D254)*IF(N($E254)&gt;0,$E254,IFERROR(INDEX(Costos!$I$23:$I$300,MATCH($B254,Costos!$A$23:$A$300,0)),0)))</f>
        <v/>
      </c>
      <c r="G254" s="42"/>
    </row>
    <row r="255" customFormat="false" ht="15.75" hidden="false" customHeight="true" outlineLevel="0" collapsed="false">
      <c r="A255" s="41"/>
      <c r="B255" s="42"/>
      <c r="C255" s="42"/>
      <c r="D255" s="43"/>
      <c r="E255" s="44"/>
      <c r="F255" s="45" t="str">
        <f aca="false">IF($B255="","",N($D255)*IF(N($E255)&gt;0,$E255,IFERROR(INDEX(Costos!$I$23:$I$300,MATCH($B255,Costos!$A$23:$A$300,0)),0)))</f>
        <v/>
      </c>
      <c r="G255" s="42"/>
    </row>
    <row r="256" customFormat="false" ht="15.75" hidden="false" customHeight="true" outlineLevel="0" collapsed="false">
      <c r="A256" s="41"/>
      <c r="B256" s="42"/>
      <c r="C256" s="42"/>
      <c r="D256" s="43"/>
      <c r="E256" s="44"/>
      <c r="F256" s="45" t="str">
        <f aca="false">IF($B256="","",N($D256)*IF(N($E256)&gt;0,$E256,IFERROR(INDEX(Costos!$I$23:$I$300,MATCH($B256,Costos!$A$23:$A$300,0)),0)))</f>
        <v/>
      </c>
      <c r="G256" s="42"/>
    </row>
    <row r="257" customFormat="false" ht="15.75" hidden="false" customHeight="true" outlineLevel="0" collapsed="false">
      <c r="A257" s="41"/>
      <c r="B257" s="42"/>
      <c r="C257" s="42"/>
      <c r="D257" s="43"/>
      <c r="E257" s="44"/>
      <c r="F257" s="45" t="str">
        <f aca="false">IF($B257="","",N($D257)*IF(N($E257)&gt;0,$E257,IFERROR(INDEX(Costos!$I$23:$I$300,MATCH($B257,Costos!$A$23:$A$300,0)),0)))</f>
        <v/>
      </c>
      <c r="G257" s="42"/>
    </row>
    <row r="258" customFormat="false" ht="15.75" hidden="false" customHeight="true" outlineLevel="0" collapsed="false">
      <c r="A258" s="41"/>
      <c r="B258" s="42"/>
      <c r="C258" s="42"/>
      <c r="D258" s="43"/>
      <c r="E258" s="44"/>
      <c r="F258" s="45" t="str">
        <f aca="false">IF($B258="","",N($D258)*IF(N($E258)&gt;0,$E258,IFERROR(INDEX(Costos!$I$23:$I$300,MATCH($B258,Costos!$A$23:$A$300,0)),0)))</f>
        <v/>
      </c>
      <c r="G258" s="42"/>
    </row>
    <row r="259" customFormat="false" ht="15.75" hidden="false" customHeight="true" outlineLevel="0" collapsed="false">
      <c r="A259" s="41"/>
      <c r="B259" s="42"/>
      <c r="C259" s="42"/>
      <c r="D259" s="43"/>
      <c r="E259" s="44"/>
      <c r="F259" s="45" t="str">
        <f aca="false">IF($B259="","",N($D259)*IF(N($E259)&gt;0,$E259,IFERROR(INDEX(Costos!$I$23:$I$300,MATCH($B259,Costos!$A$23:$A$300,0)),0)))</f>
        <v/>
      </c>
      <c r="G259" s="42"/>
    </row>
    <row r="260" customFormat="false" ht="15.75" hidden="false" customHeight="true" outlineLevel="0" collapsed="false">
      <c r="A260" s="41"/>
      <c r="B260" s="42"/>
      <c r="C260" s="42"/>
      <c r="D260" s="43"/>
      <c r="E260" s="44"/>
      <c r="F260" s="45" t="str">
        <f aca="false">IF($B260="","",N($D260)*IF(N($E260)&gt;0,$E260,IFERROR(INDEX(Costos!$I$23:$I$300,MATCH($B260,Costos!$A$23:$A$300,0)),0)))</f>
        <v/>
      </c>
      <c r="G260" s="42"/>
    </row>
    <row r="261" customFormat="false" ht="15.75" hidden="false" customHeight="true" outlineLevel="0" collapsed="false">
      <c r="A261" s="41"/>
      <c r="B261" s="42"/>
      <c r="C261" s="42"/>
      <c r="D261" s="43"/>
      <c r="E261" s="44"/>
      <c r="F261" s="45" t="str">
        <f aca="false">IF($B261="","",N($D261)*IF(N($E261)&gt;0,$E261,IFERROR(INDEX(Costos!$I$23:$I$300,MATCH($B261,Costos!$A$23:$A$300,0)),0)))</f>
        <v/>
      </c>
      <c r="G261" s="42"/>
    </row>
    <row r="262" customFormat="false" ht="15.75" hidden="false" customHeight="true" outlineLevel="0" collapsed="false">
      <c r="A262" s="41"/>
      <c r="B262" s="42"/>
      <c r="C262" s="42"/>
      <c r="D262" s="43"/>
      <c r="E262" s="44"/>
      <c r="F262" s="45" t="str">
        <f aca="false">IF($B262="","",N($D262)*IF(N($E262)&gt;0,$E262,IFERROR(INDEX(Costos!$I$23:$I$300,MATCH($B262,Costos!$A$23:$A$300,0)),0)))</f>
        <v/>
      </c>
      <c r="G262" s="42"/>
    </row>
    <row r="263" customFormat="false" ht="15.75" hidden="false" customHeight="true" outlineLevel="0" collapsed="false">
      <c r="A263" s="41"/>
      <c r="B263" s="42"/>
      <c r="C263" s="42"/>
      <c r="D263" s="43"/>
      <c r="E263" s="44"/>
      <c r="F263" s="45" t="str">
        <f aca="false">IF($B263="","",N($D263)*IF(N($E263)&gt;0,$E263,IFERROR(INDEX(Costos!$I$23:$I$300,MATCH($B263,Costos!$A$23:$A$300,0)),0)))</f>
        <v/>
      </c>
      <c r="G263" s="42"/>
    </row>
    <row r="264" customFormat="false" ht="15.75" hidden="false" customHeight="true" outlineLevel="0" collapsed="false">
      <c r="A264" s="41"/>
      <c r="B264" s="42"/>
      <c r="C264" s="42"/>
      <c r="D264" s="43"/>
      <c r="E264" s="44"/>
      <c r="F264" s="45" t="str">
        <f aca="false">IF($B264="","",N($D264)*IF(N($E264)&gt;0,$E264,IFERROR(INDEX(Costos!$I$23:$I$300,MATCH($B264,Costos!$A$23:$A$300,0)),0)))</f>
        <v/>
      </c>
      <c r="G264" s="42"/>
    </row>
    <row r="265" customFormat="false" ht="15.75" hidden="false" customHeight="true" outlineLevel="0" collapsed="false">
      <c r="A265" s="41"/>
      <c r="B265" s="42"/>
      <c r="C265" s="42"/>
      <c r="D265" s="43"/>
      <c r="E265" s="44"/>
      <c r="F265" s="45" t="str">
        <f aca="false">IF($B265="","",N($D265)*IF(N($E265)&gt;0,$E265,IFERROR(INDEX(Costos!$I$23:$I$300,MATCH($B265,Costos!$A$23:$A$300,0)),0)))</f>
        <v/>
      </c>
      <c r="G265" s="42"/>
    </row>
    <row r="266" customFormat="false" ht="15.75" hidden="false" customHeight="true" outlineLevel="0" collapsed="false">
      <c r="A266" s="41"/>
      <c r="B266" s="42"/>
      <c r="C266" s="42"/>
      <c r="D266" s="43"/>
      <c r="E266" s="44"/>
      <c r="F266" s="45" t="str">
        <f aca="false">IF($B266="","",N($D266)*IF(N($E266)&gt;0,$E266,IFERROR(INDEX(Costos!$I$23:$I$300,MATCH($B266,Costos!$A$23:$A$300,0)),0)))</f>
        <v/>
      </c>
      <c r="G266" s="42"/>
    </row>
    <row r="267" customFormat="false" ht="15.75" hidden="false" customHeight="true" outlineLevel="0" collapsed="false">
      <c r="A267" s="41"/>
      <c r="B267" s="42"/>
      <c r="C267" s="42"/>
      <c r="D267" s="43"/>
      <c r="E267" s="44"/>
      <c r="F267" s="45" t="str">
        <f aca="false">IF($B267="","",N($D267)*IF(N($E267)&gt;0,$E267,IFERROR(INDEX(Costos!$I$23:$I$300,MATCH($B267,Costos!$A$23:$A$300,0)),0)))</f>
        <v/>
      </c>
      <c r="G267" s="42"/>
    </row>
    <row r="268" customFormat="false" ht="15.75" hidden="false" customHeight="true" outlineLevel="0" collapsed="false">
      <c r="A268" s="41"/>
      <c r="B268" s="42"/>
      <c r="C268" s="42"/>
      <c r="D268" s="43"/>
      <c r="E268" s="44"/>
      <c r="F268" s="45" t="str">
        <f aca="false">IF($B268="","",N($D268)*IF(N($E268)&gt;0,$E268,IFERROR(INDEX(Costos!$I$23:$I$300,MATCH($B268,Costos!$A$23:$A$300,0)),0)))</f>
        <v/>
      </c>
      <c r="G268" s="42"/>
    </row>
    <row r="269" customFormat="false" ht="15.75" hidden="false" customHeight="true" outlineLevel="0" collapsed="false">
      <c r="A269" s="41"/>
      <c r="B269" s="42"/>
      <c r="C269" s="42"/>
      <c r="D269" s="43"/>
      <c r="E269" s="44"/>
      <c r="F269" s="45" t="str">
        <f aca="false">IF($B269="","",N($D269)*IF(N($E269)&gt;0,$E269,IFERROR(INDEX(Costos!$I$23:$I$300,MATCH($B269,Costos!$A$23:$A$300,0)),0)))</f>
        <v/>
      </c>
      <c r="G269" s="42"/>
    </row>
    <row r="270" customFormat="false" ht="15.75" hidden="false" customHeight="true" outlineLevel="0" collapsed="false">
      <c r="A270" s="41"/>
      <c r="B270" s="42"/>
      <c r="C270" s="42"/>
      <c r="D270" s="43"/>
      <c r="E270" s="44"/>
      <c r="F270" s="45" t="str">
        <f aca="false">IF($B270="","",N($D270)*IF(N($E270)&gt;0,$E270,IFERROR(INDEX(Costos!$I$23:$I$300,MATCH($B270,Costos!$A$23:$A$300,0)),0)))</f>
        <v/>
      </c>
      <c r="G270" s="42"/>
    </row>
    <row r="271" customFormat="false" ht="15.75" hidden="false" customHeight="true" outlineLevel="0" collapsed="false">
      <c r="A271" s="41"/>
      <c r="B271" s="42"/>
      <c r="C271" s="42"/>
      <c r="D271" s="43"/>
      <c r="E271" s="44"/>
      <c r="F271" s="45" t="str">
        <f aca="false">IF($B271="","",N($D271)*IF(N($E271)&gt;0,$E271,IFERROR(INDEX(Costos!$I$23:$I$300,MATCH($B271,Costos!$A$23:$A$300,0)),0)))</f>
        <v/>
      </c>
      <c r="G271" s="42"/>
    </row>
    <row r="272" customFormat="false" ht="15.75" hidden="false" customHeight="true" outlineLevel="0" collapsed="false">
      <c r="A272" s="41"/>
      <c r="B272" s="42"/>
      <c r="C272" s="42"/>
      <c r="D272" s="43"/>
      <c r="E272" s="44"/>
      <c r="F272" s="45" t="str">
        <f aca="false">IF($B272="","",N($D272)*IF(N($E272)&gt;0,$E272,IFERROR(INDEX(Costos!$I$23:$I$300,MATCH($B272,Costos!$A$23:$A$300,0)),0)))</f>
        <v/>
      </c>
      <c r="G272" s="42"/>
    </row>
    <row r="273" customFormat="false" ht="15.75" hidden="false" customHeight="true" outlineLevel="0" collapsed="false">
      <c r="A273" s="41"/>
      <c r="B273" s="42"/>
      <c r="C273" s="42"/>
      <c r="D273" s="43"/>
      <c r="E273" s="44"/>
      <c r="F273" s="45" t="str">
        <f aca="false">IF($B273="","",N($D273)*IF(N($E273)&gt;0,$E273,IFERROR(INDEX(Costos!$I$23:$I$300,MATCH($B273,Costos!$A$23:$A$300,0)),0)))</f>
        <v/>
      </c>
      <c r="G273" s="42"/>
    </row>
    <row r="274" customFormat="false" ht="15.75" hidden="false" customHeight="true" outlineLevel="0" collapsed="false">
      <c r="A274" s="41"/>
      <c r="B274" s="42"/>
      <c r="C274" s="42"/>
      <c r="D274" s="43"/>
      <c r="E274" s="44"/>
      <c r="F274" s="45" t="str">
        <f aca="false">IF($B274="","",N($D274)*IF(N($E274)&gt;0,$E274,IFERROR(INDEX(Costos!$I$23:$I$300,MATCH($B274,Costos!$A$23:$A$300,0)),0)))</f>
        <v/>
      </c>
      <c r="G274" s="42"/>
    </row>
    <row r="275" customFormat="false" ht="15.75" hidden="false" customHeight="true" outlineLevel="0" collapsed="false">
      <c r="A275" s="41"/>
      <c r="B275" s="42"/>
      <c r="C275" s="42"/>
      <c r="D275" s="43"/>
      <c r="E275" s="44"/>
      <c r="F275" s="45" t="str">
        <f aca="false">IF($B275="","",N($D275)*IF(N($E275)&gt;0,$E275,IFERROR(INDEX(Costos!$I$23:$I$300,MATCH($B275,Costos!$A$23:$A$300,0)),0)))</f>
        <v/>
      </c>
      <c r="G275" s="42"/>
    </row>
    <row r="276" customFormat="false" ht="15.75" hidden="false" customHeight="true" outlineLevel="0" collapsed="false">
      <c r="A276" s="41"/>
      <c r="B276" s="42"/>
      <c r="C276" s="42"/>
      <c r="D276" s="43"/>
      <c r="E276" s="44"/>
      <c r="F276" s="45" t="str">
        <f aca="false">IF($B276="","",N($D276)*IF(N($E276)&gt;0,$E276,IFERROR(INDEX(Costos!$I$23:$I$300,MATCH($B276,Costos!$A$23:$A$300,0)),0)))</f>
        <v/>
      </c>
      <c r="G276" s="42"/>
    </row>
    <row r="277" customFormat="false" ht="15.75" hidden="false" customHeight="true" outlineLevel="0" collapsed="false">
      <c r="A277" s="41"/>
      <c r="B277" s="42"/>
      <c r="C277" s="42"/>
      <c r="D277" s="43"/>
      <c r="E277" s="44"/>
      <c r="F277" s="45" t="str">
        <f aca="false">IF($B277="","",N($D277)*IF(N($E277)&gt;0,$E277,IFERROR(INDEX(Costos!$I$23:$I$300,MATCH($B277,Costos!$A$23:$A$300,0)),0)))</f>
        <v/>
      </c>
      <c r="G277" s="42"/>
    </row>
    <row r="278" customFormat="false" ht="15.75" hidden="false" customHeight="true" outlineLevel="0" collapsed="false">
      <c r="A278" s="41"/>
      <c r="B278" s="42"/>
      <c r="C278" s="42"/>
      <c r="D278" s="43"/>
      <c r="E278" s="44"/>
      <c r="F278" s="45" t="str">
        <f aca="false">IF($B278="","",N($D278)*IF(N($E278)&gt;0,$E278,IFERROR(INDEX(Costos!$I$23:$I$300,MATCH($B278,Costos!$A$23:$A$300,0)),0)))</f>
        <v/>
      </c>
      <c r="G278" s="42"/>
    </row>
    <row r="279" customFormat="false" ht="15.75" hidden="false" customHeight="true" outlineLevel="0" collapsed="false">
      <c r="A279" s="41"/>
      <c r="B279" s="42"/>
      <c r="C279" s="42"/>
      <c r="D279" s="43"/>
      <c r="E279" s="44"/>
      <c r="F279" s="45" t="str">
        <f aca="false">IF($B279="","",N($D279)*IF(N($E279)&gt;0,$E279,IFERROR(INDEX(Costos!$I$23:$I$300,MATCH($B279,Costos!$A$23:$A$300,0)),0)))</f>
        <v/>
      </c>
      <c r="G279" s="42"/>
    </row>
    <row r="280" customFormat="false" ht="15.75" hidden="false" customHeight="true" outlineLevel="0" collapsed="false">
      <c r="A280" s="41"/>
      <c r="B280" s="42"/>
      <c r="C280" s="42"/>
      <c r="D280" s="43"/>
      <c r="E280" s="44"/>
      <c r="F280" s="45" t="str">
        <f aca="false">IF($B280="","",N($D280)*IF(N($E280)&gt;0,$E280,IFERROR(INDEX(Costos!$I$23:$I$300,MATCH($B280,Costos!$A$23:$A$300,0)),0)))</f>
        <v/>
      </c>
      <c r="G280" s="42"/>
    </row>
    <row r="281" customFormat="false" ht="15.75" hidden="false" customHeight="true" outlineLevel="0" collapsed="false">
      <c r="A281" s="41"/>
      <c r="B281" s="42"/>
      <c r="C281" s="42"/>
      <c r="D281" s="43"/>
      <c r="E281" s="44"/>
      <c r="F281" s="45" t="str">
        <f aca="false">IF($B281="","",N($D281)*IF(N($E281)&gt;0,$E281,IFERROR(INDEX(Costos!$I$23:$I$300,MATCH($B281,Costos!$A$23:$A$300,0)),0)))</f>
        <v/>
      </c>
      <c r="G281" s="42"/>
    </row>
    <row r="282" customFormat="false" ht="15.75" hidden="false" customHeight="true" outlineLevel="0" collapsed="false">
      <c r="A282" s="41"/>
      <c r="B282" s="42"/>
      <c r="C282" s="42"/>
      <c r="D282" s="43"/>
      <c r="E282" s="44"/>
      <c r="F282" s="45" t="str">
        <f aca="false">IF($B282="","",N($D282)*IF(N($E282)&gt;0,$E282,IFERROR(INDEX(Costos!$I$23:$I$300,MATCH($B282,Costos!$A$23:$A$300,0)),0)))</f>
        <v/>
      </c>
      <c r="G282" s="42"/>
    </row>
    <row r="283" customFormat="false" ht="15.75" hidden="false" customHeight="true" outlineLevel="0" collapsed="false">
      <c r="A283" s="41"/>
      <c r="B283" s="42"/>
      <c r="C283" s="42"/>
      <c r="D283" s="43"/>
      <c r="E283" s="44"/>
      <c r="F283" s="45" t="str">
        <f aca="false">IF($B283="","",N($D283)*IF(N($E283)&gt;0,$E283,IFERROR(INDEX(Costos!$I$23:$I$300,MATCH($B283,Costos!$A$23:$A$300,0)),0)))</f>
        <v/>
      </c>
      <c r="G283" s="42"/>
    </row>
    <row r="284" customFormat="false" ht="15.75" hidden="false" customHeight="true" outlineLevel="0" collapsed="false">
      <c r="A284" s="41"/>
      <c r="B284" s="42"/>
      <c r="C284" s="42"/>
      <c r="D284" s="43"/>
      <c r="E284" s="44"/>
      <c r="F284" s="45" t="str">
        <f aca="false">IF($B284="","",N($D284)*IF(N($E284)&gt;0,$E284,IFERROR(INDEX(Costos!$I$23:$I$300,MATCH($B284,Costos!$A$23:$A$300,0)),0)))</f>
        <v/>
      </c>
      <c r="G284" s="42"/>
    </row>
    <row r="285" customFormat="false" ht="15.75" hidden="false" customHeight="true" outlineLevel="0" collapsed="false">
      <c r="A285" s="41"/>
      <c r="B285" s="42"/>
      <c r="C285" s="42"/>
      <c r="D285" s="43"/>
      <c r="E285" s="44"/>
      <c r="F285" s="45" t="str">
        <f aca="false">IF($B285="","",N($D285)*IF(N($E285)&gt;0,$E285,IFERROR(INDEX(Costos!$I$23:$I$300,MATCH($B285,Costos!$A$23:$A$300,0)),0)))</f>
        <v/>
      </c>
      <c r="G285" s="42"/>
    </row>
    <row r="286" customFormat="false" ht="15.75" hidden="false" customHeight="true" outlineLevel="0" collapsed="false">
      <c r="A286" s="41"/>
      <c r="B286" s="42"/>
      <c r="C286" s="42"/>
      <c r="D286" s="43"/>
      <c r="E286" s="44"/>
      <c r="F286" s="45" t="str">
        <f aca="false">IF($B286="","",N($D286)*IF(N($E286)&gt;0,$E286,IFERROR(INDEX(Costos!$I$23:$I$300,MATCH($B286,Costos!$A$23:$A$300,0)),0)))</f>
        <v/>
      </c>
      <c r="G286" s="42"/>
    </row>
    <row r="287" customFormat="false" ht="15.75" hidden="false" customHeight="true" outlineLevel="0" collapsed="false">
      <c r="A287" s="41"/>
      <c r="B287" s="42"/>
      <c r="C287" s="42"/>
      <c r="D287" s="43"/>
      <c r="E287" s="44"/>
      <c r="F287" s="45" t="str">
        <f aca="false">IF($B287="","",N($D287)*IF(N($E287)&gt;0,$E287,IFERROR(INDEX(Costos!$I$23:$I$300,MATCH($B287,Costos!$A$23:$A$300,0)),0)))</f>
        <v/>
      </c>
      <c r="G287" s="42"/>
    </row>
    <row r="288" customFormat="false" ht="15.75" hidden="false" customHeight="true" outlineLevel="0" collapsed="false">
      <c r="A288" s="41"/>
      <c r="B288" s="42"/>
      <c r="C288" s="42"/>
      <c r="D288" s="43"/>
      <c r="E288" s="44"/>
      <c r="F288" s="45" t="str">
        <f aca="false">IF($B288="","",N($D288)*IF(N($E288)&gt;0,$E288,IFERROR(INDEX(Costos!$I$23:$I$300,MATCH($B288,Costos!$A$23:$A$300,0)),0)))</f>
        <v/>
      </c>
      <c r="G288" s="42"/>
    </row>
    <row r="289" customFormat="false" ht="15.75" hidden="false" customHeight="true" outlineLevel="0" collapsed="false">
      <c r="A289" s="41"/>
      <c r="B289" s="42"/>
      <c r="C289" s="42"/>
      <c r="D289" s="43"/>
      <c r="E289" s="44"/>
      <c r="F289" s="45" t="str">
        <f aca="false">IF($B289="","",N($D289)*IF(N($E289)&gt;0,$E289,IFERROR(INDEX(Costos!$I$23:$I$300,MATCH($B289,Costos!$A$23:$A$300,0)),0)))</f>
        <v/>
      </c>
      <c r="G289" s="42"/>
    </row>
    <row r="290" customFormat="false" ht="15.75" hidden="false" customHeight="true" outlineLevel="0" collapsed="false">
      <c r="A290" s="41"/>
      <c r="B290" s="42"/>
      <c r="C290" s="42"/>
      <c r="D290" s="43"/>
      <c r="E290" s="44"/>
      <c r="F290" s="45" t="str">
        <f aca="false">IF($B290="","",N($D290)*IF(N($E290)&gt;0,$E290,IFERROR(INDEX(Costos!$I$23:$I$300,MATCH($B290,Costos!$A$23:$A$300,0)),0)))</f>
        <v/>
      </c>
      <c r="G290" s="42"/>
    </row>
    <row r="291" customFormat="false" ht="15.75" hidden="false" customHeight="true" outlineLevel="0" collapsed="false">
      <c r="A291" s="41"/>
      <c r="B291" s="42"/>
      <c r="C291" s="42"/>
      <c r="D291" s="43"/>
      <c r="E291" s="44"/>
      <c r="F291" s="45" t="str">
        <f aca="false">IF($B291="","",N($D291)*IF(N($E291)&gt;0,$E291,IFERROR(INDEX(Costos!$I$23:$I$300,MATCH($B291,Costos!$A$23:$A$300,0)),0)))</f>
        <v/>
      </c>
      <c r="G291" s="42"/>
    </row>
    <row r="292" customFormat="false" ht="15.75" hidden="false" customHeight="true" outlineLevel="0" collapsed="false">
      <c r="A292" s="41"/>
      <c r="B292" s="42"/>
      <c r="C292" s="42"/>
      <c r="D292" s="43"/>
      <c r="E292" s="44"/>
      <c r="F292" s="45" t="str">
        <f aca="false">IF($B292="","",N($D292)*IF(N($E292)&gt;0,$E292,IFERROR(INDEX(Costos!$I$23:$I$300,MATCH($B292,Costos!$A$23:$A$300,0)),0)))</f>
        <v/>
      </c>
      <c r="G292" s="42"/>
    </row>
    <row r="293" customFormat="false" ht="15.75" hidden="false" customHeight="true" outlineLevel="0" collapsed="false">
      <c r="A293" s="41"/>
      <c r="B293" s="42"/>
      <c r="C293" s="42"/>
      <c r="D293" s="43"/>
      <c r="E293" s="44"/>
      <c r="F293" s="45" t="str">
        <f aca="false">IF($B293="","",N($D293)*IF(N($E293)&gt;0,$E293,IFERROR(INDEX(Costos!$I$23:$I$300,MATCH($B293,Costos!$A$23:$A$300,0)),0)))</f>
        <v/>
      </c>
      <c r="G293" s="42"/>
    </row>
    <row r="294" customFormat="false" ht="15.75" hidden="false" customHeight="true" outlineLevel="0" collapsed="false">
      <c r="A294" s="41"/>
      <c r="B294" s="42"/>
      <c r="C294" s="42"/>
      <c r="D294" s="43"/>
      <c r="E294" s="44"/>
      <c r="F294" s="45" t="str">
        <f aca="false">IF($B294="","",N($D294)*IF(N($E294)&gt;0,$E294,IFERROR(INDEX(Costos!$I$23:$I$300,MATCH($B294,Costos!$A$23:$A$300,0)),0)))</f>
        <v/>
      </c>
      <c r="G294" s="42"/>
    </row>
    <row r="295" customFormat="false" ht="15.75" hidden="false" customHeight="true" outlineLevel="0" collapsed="false">
      <c r="A295" s="41"/>
      <c r="B295" s="42"/>
      <c r="C295" s="42"/>
      <c r="D295" s="43"/>
      <c r="E295" s="44"/>
      <c r="F295" s="45" t="str">
        <f aca="false">IF($B295="","",N($D295)*IF(N($E295)&gt;0,$E295,IFERROR(INDEX(Costos!$I$23:$I$300,MATCH($B295,Costos!$A$23:$A$300,0)),0)))</f>
        <v/>
      </c>
      <c r="G295" s="42"/>
    </row>
    <row r="296" customFormat="false" ht="15.75" hidden="false" customHeight="true" outlineLevel="0" collapsed="false">
      <c r="A296" s="41"/>
      <c r="B296" s="42"/>
      <c r="C296" s="42"/>
      <c r="D296" s="43"/>
      <c r="E296" s="44"/>
      <c r="F296" s="45" t="str">
        <f aca="false">IF($B296="","",N($D296)*IF(N($E296)&gt;0,$E296,IFERROR(INDEX(Costos!$I$23:$I$300,MATCH($B296,Costos!$A$23:$A$300,0)),0)))</f>
        <v/>
      </c>
      <c r="G296" s="42"/>
    </row>
    <row r="297" customFormat="false" ht="15.75" hidden="false" customHeight="true" outlineLevel="0" collapsed="false">
      <c r="A297" s="41"/>
      <c r="B297" s="42"/>
      <c r="C297" s="42"/>
      <c r="D297" s="43"/>
      <c r="E297" s="44"/>
      <c r="F297" s="45" t="str">
        <f aca="false">IF($B297="","",N($D297)*IF(N($E297)&gt;0,$E297,IFERROR(INDEX(Costos!$I$23:$I$300,MATCH($B297,Costos!$A$23:$A$300,0)),0)))</f>
        <v/>
      </c>
      <c r="G297" s="42"/>
    </row>
    <row r="298" customFormat="false" ht="15.75" hidden="false" customHeight="true" outlineLevel="0" collapsed="false">
      <c r="A298" s="41"/>
      <c r="B298" s="42"/>
      <c r="C298" s="42"/>
      <c r="D298" s="43"/>
      <c r="E298" s="44"/>
      <c r="F298" s="45" t="str">
        <f aca="false">IF($B298="","",N($D298)*IF(N($E298)&gt;0,$E298,IFERROR(INDEX(Costos!$I$23:$I$300,MATCH($B298,Costos!$A$23:$A$300,0)),0)))</f>
        <v/>
      </c>
      <c r="G298" s="42"/>
    </row>
    <row r="299" customFormat="false" ht="15.75" hidden="false" customHeight="true" outlineLevel="0" collapsed="false">
      <c r="A299" s="41"/>
      <c r="B299" s="42"/>
      <c r="C299" s="42"/>
      <c r="D299" s="43"/>
      <c r="E299" s="44"/>
      <c r="F299" s="45" t="str">
        <f aca="false">IF($B299="","",N($D299)*IF(N($E299)&gt;0,$E299,IFERROR(INDEX(Costos!$I$23:$I$300,MATCH($B299,Costos!$A$23:$A$300,0)),0)))</f>
        <v/>
      </c>
      <c r="G299" s="42"/>
    </row>
    <row r="300" customFormat="false" ht="15.75" hidden="false" customHeight="true" outlineLevel="0" collapsed="false">
      <c r="A300" s="41"/>
      <c r="B300" s="42"/>
      <c r="C300" s="42"/>
      <c r="D300" s="43"/>
      <c r="E300" s="44"/>
      <c r="F300" s="45" t="str">
        <f aca="false">IF($B300="","",N($D300)*IF(N($E300)&gt;0,$E300,IFERROR(INDEX(Costos!$I$23:$I$300,MATCH($B300,Costos!$A$23:$A$300,0)),0)))</f>
        <v/>
      </c>
      <c r="G300" s="42"/>
    </row>
    <row r="301" customFormat="false" ht="15.75" hidden="false" customHeight="true" outlineLevel="0" collapsed="false">
      <c r="A301" s="41"/>
      <c r="B301" s="42"/>
      <c r="C301" s="42"/>
      <c r="D301" s="43"/>
      <c r="E301" s="44"/>
      <c r="F301" s="45" t="str">
        <f aca="false">IF($B301="","",N($D301)*IF(N($E301)&gt;0,$E301,IFERROR(INDEX(Costos!$I$23:$I$300,MATCH($B301,Costos!$A$23:$A$300,0)),0)))</f>
        <v/>
      </c>
      <c r="G301" s="42"/>
    </row>
    <row r="302" customFormat="false" ht="15.75" hidden="false" customHeight="true" outlineLevel="0" collapsed="false">
      <c r="A302" s="41"/>
      <c r="B302" s="42"/>
      <c r="C302" s="42"/>
      <c r="D302" s="43"/>
      <c r="E302" s="44"/>
      <c r="F302" s="45" t="str">
        <f aca="false">IF($B302="","",N($D302)*IF(N($E302)&gt;0,$E302,IFERROR(INDEX(Costos!$I$23:$I$300,MATCH($B302,Costos!$A$23:$A$300,0)),0)))</f>
        <v/>
      </c>
      <c r="G302" s="42"/>
    </row>
    <row r="303" customFormat="false" ht="15.75" hidden="false" customHeight="true" outlineLevel="0" collapsed="false">
      <c r="A303" s="41"/>
      <c r="B303" s="42"/>
      <c r="C303" s="42"/>
      <c r="D303" s="43"/>
      <c r="E303" s="44"/>
      <c r="F303" s="45" t="str">
        <f aca="false">IF($B303="","",N($D303)*IF(N($E303)&gt;0,$E303,IFERROR(INDEX(Costos!$I$23:$I$300,MATCH($B303,Costos!$A$23:$A$300,0)),0)))</f>
        <v/>
      </c>
      <c r="G303" s="42"/>
    </row>
    <row r="304" customFormat="false" ht="15.75" hidden="false" customHeight="true" outlineLevel="0" collapsed="false">
      <c r="A304" s="41"/>
      <c r="B304" s="42"/>
      <c r="C304" s="42"/>
      <c r="D304" s="43"/>
      <c r="E304" s="44"/>
      <c r="F304" s="45" t="str">
        <f aca="false">IF($B304="","",N($D304)*IF(N($E304)&gt;0,$E304,IFERROR(INDEX(Costos!$I$23:$I$300,MATCH($B304,Costos!$A$23:$A$300,0)),0)))</f>
        <v/>
      </c>
      <c r="G304" s="42"/>
    </row>
    <row r="305" customFormat="false" ht="15.75" hidden="false" customHeight="true" outlineLevel="0" collapsed="false">
      <c r="A305" s="41"/>
      <c r="B305" s="42"/>
      <c r="C305" s="42"/>
      <c r="D305" s="43"/>
      <c r="E305" s="44"/>
      <c r="F305" s="45" t="str">
        <f aca="false">IF($B305="","",N($D305)*IF(N($E305)&gt;0,$E305,IFERROR(INDEX(Costos!$I$23:$I$300,MATCH($B305,Costos!$A$23:$A$300,0)),0)))</f>
        <v/>
      </c>
      <c r="G305" s="42"/>
    </row>
    <row r="306" customFormat="false" ht="15.75" hidden="false" customHeight="true" outlineLevel="0" collapsed="false">
      <c r="A306" s="41"/>
      <c r="B306" s="42"/>
      <c r="C306" s="42"/>
      <c r="D306" s="43"/>
      <c r="E306" s="44"/>
      <c r="F306" s="45" t="str">
        <f aca="false">IF($B306="","",N($D306)*IF(N($E306)&gt;0,$E306,IFERROR(INDEX(Costos!$I$23:$I$300,MATCH($B306,Costos!$A$23:$A$300,0)),0)))</f>
        <v/>
      </c>
      <c r="G306" s="42"/>
    </row>
    <row r="307" customFormat="false" ht="15.75" hidden="false" customHeight="true" outlineLevel="0" collapsed="false">
      <c r="A307" s="41"/>
      <c r="B307" s="42"/>
      <c r="C307" s="42"/>
      <c r="D307" s="43"/>
      <c r="E307" s="44"/>
      <c r="F307" s="45" t="str">
        <f aca="false">IF($B307="","",N($D307)*IF(N($E307)&gt;0,$E307,IFERROR(INDEX(Costos!$I$23:$I$300,MATCH($B307,Costos!$A$23:$A$300,0)),0)))</f>
        <v/>
      </c>
      <c r="G307" s="42"/>
    </row>
    <row r="308" customFormat="false" ht="15.75" hidden="false" customHeight="true" outlineLevel="0" collapsed="false">
      <c r="A308" s="41"/>
      <c r="B308" s="42"/>
      <c r="C308" s="42"/>
      <c r="D308" s="43"/>
      <c r="E308" s="44"/>
      <c r="F308" s="45" t="str">
        <f aca="false">IF($B308="","",N($D308)*IF(N($E308)&gt;0,$E308,IFERROR(INDEX(Costos!$I$23:$I$300,MATCH($B308,Costos!$A$23:$A$300,0)),0)))</f>
        <v/>
      </c>
      <c r="G308" s="42"/>
    </row>
    <row r="309" customFormat="false" ht="15.75" hidden="false" customHeight="true" outlineLevel="0" collapsed="false">
      <c r="A309" s="41"/>
      <c r="B309" s="42"/>
      <c r="C309" s="42"/>
      <c r="D309" s="43"/>
      <c r="E309" s="44"/>
      <c r="F309" s="45" t="str">
        <f aca="false">IF($B309="","",N($D309)*IF(N($E309)&gt;0,$E309,IFERROR(INDEX(Costos!$I$23:$I$300,MATCH($B309,Costos!$A$23:$A$300,0)),0)))</f>
        <v/>
      </c>
      <c r="G309" s="42"/>
    </row>
    <row r="310" customFormat="false" ht="15.75" hidden="false" customHeight="true" outlineLevel="0" collapsed="false">
      <c r="A310" s="41"/>
      <c r="B310" s="42"/>
      <c r="C310" s="42"/>
      <c r="D310" s="43"/>
      <c r="E310" s="44"/>
      <c r="F310" s="45" t="str">
        <f aca="false">IF($B310="","",N($D310)*IF(N($E310)&gt;0,$E310,IFERROR(INDEX(Costos!$I$23:$I$300,MATCH($B310,Costos!$A$23:$A$300,0)),0)))</f>
        <v/>
      </c>
      <c r="G310" s="42"/>
    </row>
    <row r="311" customFormat="false" ht="15.75" hidden="false" customHeight="true" outlineLevel="0" collapsed="false">
      <c r="A311" s="41"/>
      <c r="B311" s="42"/>
      <c r="C311" s="42"/>
      <c r="D311" s="43"/>
      <c r="E311" s="44"/>
      <c r="F311" s="45" t="str">
        <f aca="false">IF($B311="","",N($D311)*IF(N($E311)&gt;0,$E311,IFERROR(INDEX(Costos!$I$23:$I$300,MATCH($B311,Costos!$A$23:$A$300,0)),0)))</f>
        <v/>
      </c>
      <c r="G311" s="42"/>
    </row>
    <row r="312" customFormat="false" ht="15.75" hidden="false" customHeight="true" outlineLevel="0" collapsed="false">
      <c r="A312" s="41"/>
      <c r="B312" s="42"/>
      <c r="C312" s="42"/>
      <c r="D312" s="43"/>
      <c r="E312" s="44"/>
      <c r="F312" s="45" t="str">
        <f aca="false">IF($B312="","",N($D312)*IF(N($E312)&gt;0,$E312,IFERROR(INDEX(Costos!$I$23:$I$300,MATCH($B312,Costos!$A$23:$A$300,0)),0)))</f>
        <v/>
      </c>
      <c r="G312" s="42"/>
    </row>
    <row r="313" customFormat="false" ht="15.75" hidden="false" customHeight="true" outlineLevel="0" collapsed="false">
      <c r="A313" s="41"/>
      <c r="B313" s="42"/>
      <c r="C313" s="42"/>
      <c r="D313" s="43"/>
      <c r="E313" s="44"/>
      <c r="F313" s="45" t="str">
        <f aca="false">IF($B313="","",N($D313)*IF(N($E313)&gt;0,$E313,IFERROR(INDEX(Costos!$I$23:$I$300,MATCH($B313,Costos!$A$23:$A$300,0)),0)))</f>
        <v/>
      </c>
      <c r="G313" s="42"/>
    </row>
    <row r="314" customFormat="false" ht="15.75" hidden="false" customHeight="true" outlineLevel="0" collapsed="false">
      <c r="A314" s="41"/>
      <c r="B314" s="42"/>
      <c r="C314" s="42"/>
      <c r="D314" s="43"/>
      <c r="E314" s="44"/>
      <c r="F314" s="45" t="str">
        <f aca="false">IF($B314="","",N($D314)*IF(N($E314)&gt;0,$E314,IFERROR(INDEX(Costos!$I$23:$I$300,MATCH($B314,Costos!$A$23:$A$300,0)),0)))</f>
        <v/>
      </c>
      <c r="G314" s="42"/>
    </row>
    <row r="315" customFormat="false" ht="15.75" hidden="false" customHeight="true" outlineLevel="0" collapsed="false">
      <c r="A315" s="41"/>
      <c r="B315" s="42"/>
      <c r="C315" s="42"/>
      <c r="D315" s="43"/>
      <c r="E315" s="44"/>
      <c r="F315" s="45" t="str">
        <f aca="false">IF($B315="","",N($D315)*IF(N($E315)&gt;0,$E315,IFERROR(INDEX(Costos!$I$23:$I$300,MATCH($B315,Costos!$A$23:$A$300,0)),0)))</f>
        <v/>
      </c>
      <c r="G315" s="42"/>
    </row>
    <row r="316" customFormat="false" ht="15.75" hidden="false" customHeight="true" outlineLevel="0" collapsed="false">
      <c r="A316" s="41"/>
      <c r="B316" s="42"/>
      <c r="C316" s="42"/>
      <c r="D316" s="43"/>
      <c r="E316" s="44"/>
      <c r="F316" s="45" t="str">
        <f aca="false">IF($B316="","",N($D316)*IF(N($E316)&gt;0,$E316,IFERROR(INDEX(Costos!$I$23:$I$300,MATCH($B316,Costos!$A$23:$A$300,0)),0)))</f>
        <v/>
      </c>
      <c r="G316" s="42"/>
    </row>
    <row r="317" customFormat="false" ht="15.75" hidden="false" customHeight="true" outlineLevel="0" collapsed="false">
      <c r="A317" s="41"/>
      <c r="B317" s="42"/>
      <c r="C317" s="42"/>
      <c r="D317" s="43"/>
      <c r="E317" s="44"/>
      <c r="F317" s="45" t="str">
        <f aca="false">IF($B317="","",N($D317)*IF(N($E317)&gt;0,$E317,IFERROR(INDEX(Costos!$I$23:$I$300,MATCH($B317,Costos!$A$23:$A$300,0)),0)))</f>
        <v/>
      </c>
      <c r="G317" s="42"/>
    </row>
    <row r="318" customFormat="false" ht="15.75" hidden="false" customHeight="true" outlineLevel="0" collapsed="false">
      <c r="A318" s="41"/>
      <c r="B318" s="42"/>
      <c r="C318" s="42"/>
      <c r="D318" s="43"/>
      <c r="E318" s="44"/>
      <c r="F318" s="45" t="str">
        <f aca="false">IF($B318="","",N($D318)*IF(N($E318)&gt;0,$E318,IFERROR(INDEX(Costos!$I$23:$I$300,MATCH($B318,Costos!$A$23:$A$300,0)),0)))</f>
        <v/>
      </c>
      <c r="G318" s="42"/>
    </row>
    <row r="319" customFormat="false" ht="15.75" hidden="false" customHeight="true" outlineLevel="0" collapsed="false">
      <c r="A319" s="41"/>
      <c r="B319" s="42"/>
      <c r="C319" s="42"/>
      <c r="D319" s="43"/>
      <c r="E319" s="44"/>
      <c r="F319" s="45" t="str">
        <f aca="false">IF($B319="","",N($D319)*IF(N($E319)&gt;0,$E319,IFERROR(INDEX(Costos!$I$23:$I$300,MATCH($B319,Costos!$A$23:$A$300,0)),0)))</f>
        <v/>
      </c>
      <c r="G319" s="42"/>
    </row>
    <row r="320" customFormat="false" ht="15.75" hidden="false" customHeight="true" outlineLevel="0" collapsed="false">
      <c r="A320" s="41"/>
      <c r="B320" s="42"/>
      <c r="C320" s="42"/>
      <c r="D320" s="43"/>
      <c r="E320" s="44"/>
      <c r="F320" s="45" t="str">
        <f aca="false">IF($B320="","",N($D320)*IF(N($E320)&gt;0,$E320,IFERROR(INDEX(Costos!$I$23:$I$300,MATCH($B320,Costos!$A$23:$A$300,0)),0)))</f>
        <v/>
      </c>
      <c r="G320" s="42"/>
    </row>
    <row r="321" customFormat="false" ht="15.75" hidden="false" customHeight="true" outlineLevel="0" collapsed="false">
      <c r="A321" s="41"/>
      <c r="B321" s="42"/>
      <c r="C321" s="42"/>
      <c r="D321" s="43"/>
      <c r="E321" s="44"/>
      <c r="F321" s="45" t="str">
        <f aca="false">IF($B321="","",N($D321)*IF(N($E321)&gt;0,$E321,IFERROR(INDEX(Costos!$I$23:$I$300,MATCH($B321,Costos!$A$23:$A$300,0)),0)))</f>
        <v/>
      </c>
      <c r="G321" s="42"/>
    </row>
    <row r="322" customFormat="false" ht="15.75" hidden="false" customHeight="true" outlineLevel="0" collapsed="false">
      <c r="A322" s="41"/>
      <c r="B322" s="42"/>
      <c r="C322" s="42"/>
      <c r="D322" s="43"/>
      <c r="E322" s="44"/>
      <c r="F322" s="45" t="str">
        <f aca="false">IF($B322="","",N($D322)*IF(N($E322)&gt;0,$E322,IFERROR(INDEX(Costos!$I$23:$I$300,MATCH($B322,Costos!$A$23:$A$300,0)),0)))</f>
        <v/>
      </c>
      <c r="G322" s="42"/>
    </row>
    <row r="323" customFormat="false" ht="15.75" hidden="false" customHeight="true" outlineLevel="0" collapsed="false">
      <c r="A323" s="41"/>
      <c r="B323" s="42"/>
      <c r="C323" s="42"/>
      <c r="D323" s="43"/>
      <c r="E323" s="44"/>
      <c r="F323" s="45" t="str">
        <f aca="false">IF($B323="","",N($D323)*IF(N($E323)&gt;0,$E323,IFERROR(INDEX(Costos!$I$23:$I$300,MATCH($B323,Costos!$A$23:$A$300,0)),0)))</f>
        <v/>
      </c>
      <c r="G323" s="42"/>
    </row>
    <row r="324" customFormat="false" ht="15.75" hidden="false" customHeight="true" outlineLevel="0" collapsed="false">
      <c r="A324" s="41"/>
      <c r="B324" s="42"/>
      <c r="C324" s="42"/>
      <c r="D324" s="43"/>
      <c r="E324" s="44"/>
      <c r="F324" s="45" t="str">
        <f aca="false">IF($B324="","",N($D324)*IF(N($E324)&gt;0,$E324,IFERROR(INDEX(Costos!$I$23:$I$300,MATCH($B324,Costos!$A$23:$A$300,0)),0)))</f>
        <v/>
      </c>
      <c r="G324" s="42"/>
    </row>
    <row r="325" customFormat="false" ht="15.75" hidden="false" customHeight="true" outlineLevel="0" collapsed="false">
      <c r="A325" s="41"/>
      <c r="B325" s="42"/>
      <c r="C325" s="42"/>
      <c r="D325" s="43"/>
      <c r="E325" s="44"/>
      <c r="F325" s="45" t="str">
        <f aca="false">IF($B325="","",N($D325)*IF(N($E325)&gt;0,$E325,IFERROR(INDEX(Costos!$I$23:$I$300,MATCH($B325,Costos!$A$23:$A$300,0)),0)))</f>
        <v/>
      </c>
      <c r="G325" s="42"/>
    </row>
    <row r="326" customFormat="false" ht="15.75" hidden="false" customHeight="true" outlineLevel="0" collapsed="false">
      <c r="A326" s="41"/>
      <c r="B326" s="42"/>
      <c r="C326" s="42"/>
      <c r="D326" s="43"/>
      <c r="E326" s="44"/>
      <c r="F326" s="45" t="str">
        <f aca="false">IF($B326="","",N($D326)*IF(N($E326)&gt;0,$E326,IFERROR(INDEX(Costos!$I$23:$I$300,MATCH($B326,Costos!$A$23:$A$300,0)),0)))</f>
        <v/>
      </c>
      <c r="G326" s="42"/>
    </row>
    <row r="327" customFormat="false" ht="15.75" hidden="false" customHeight="true" outlineLevel="0" collapsed="false">
      <c r="A327" s="41"/>
      <c r="B327" s="42"/>
      <c r="C327" s="42"/>
      <c r="D327" s="43"/>
      <c r="E327" s="44"/>
      <c r="F327" s="45" t="str">
        <f aca="false">IF($B327="","",N($D327)*IF(N($E327)&gt;0,$E327,IFERROR(INDEX(Costos!$I$23:$I$300,MATCH($B327,Costos!$A$23:$A$300,0)),0)))</f>
        <v/>
      </c>
      <c r="G327" s="42"/>
    </row>
    <row r="328" customFormat="false" ht="15.75" hidden="false" customHeight="true" outlineLevel="0" collapsed="false">
      <c r="A328" s="41"/>
      <c r="B328" s="42"/>
      <c r="C328" s="42"/>
      <c r="D328" s="43"/>
      <c r="E328" s="44"/>
      <c r="F328" s="45" t="str">
        <f aca="false">IF($B328="","",N($D328)*IF(N($E328)&gt;0,$E328,IFERROR(INDEX(Costos!$I$23:$I$300,MATCH($B328,Costos!$A$23:$A$300,0)),0)))</f>
        <v/>
      </c>
      <c r="G328" s="42"/>
    </row>
    <row r="329" customFormat="false" ht="15.75" hidden="false" customHeight="true" outlineLevel="0" collapsed="false">
      <c r="A329" s="41"/>
      <c r="B329" s="42"/>
      <c r="C329" s="42"/>
      <c r="D329" s="43"/>
      <c r="E329" s="44"/>
      <c r="F329" s="45" t="str">
        <f aca="false">IF($B329="","",N($D329)*IF(N($E329)&gt;0,$E329,IFERROR(INDEX(Costos!$I$23:$I$300,MATCH($B329,Costos!$A$23:$A$300,0)),0)))</f>
        <v/>
      </c>
      <c r="G329" s="42"/>
    </row>
    <row r="330" customFormat="false" ht="15.75" hidden="false" customHeight="true" outlineLevel="0" collapsed="false">
      <c r="A330" s="41"/>
      <c r="B330" s="42"/>
      <c r="C330" s="42"/>
      <c r="D330" s="43"/>
      <c r="E330" s="44"/>
      <c r="F330" s="45" t="str">
        <f aca="false">IF($B330="","",N($D330)*IF(N($E330)&gt;0,$E330,IFERROR(INDEX(Costos!$I$23:$I$300,MATCH($B330,Costos!$A$23:$A$300,0)),0)))</f>
        <v/>
      </c>
      <c r="G330" s="42"/>
    </row>
    <row r="331" customFormat="false" ht="15.75" hidden="false" customHeight="true" outlineLevel="0" collapsed="false">
      <c r="A331" s="41"/>
      <c r="B331" s="42"/>
      <c r="C331" s="42"/>
      <c r="D331" s="43"/>
      <c r="E331" s="44"/>
      <c r="F331" s="45" t="str">
        <f aca="false">IF($B331="","",N($D331)*IF(N($E331)&gt;0,$E331,IFERROR(INDEX(Costos!$I$23:$I$300,MATCH($B331,Costos!$A$23:$A$300,0)),0)))</f>
        <v/>
      </c>
      <c r="G331" s="42"/>
    </row>
    <row r="332" customFormat="false" ht="15.75" hidden="false" customHeight="true" outlineLevel="0" collapsed="false">
      <c r="A332" s="41"/>
      <c r="B332" s="42"/>
      <c r="C332" s="42"/>
      <c r="D332" s="43"/>
      <c r="E332" s="44"/>
      <c r="F332" s="45" t="str">
        <f aca="false">IF($B332="","",N($D332)*IF(N($E332)&gt;0,$E332,IFERROR(INDEX(Costos!$I$23:$I$300,MATCH($B332,Costos!$A$23:$A$300,0)),0)))</f>
        <v/>
      </c>
      <c r="G332" s="42"/>
    </row>
    <row r="333" customFormat="false" ht="15.75" hidden="false" customHeight="true" outlineLevel="0" collapsed="false">
      <c r="A333" s="41"/>
      <c r="B333" s="42"/>
      <c r="C333" s="42"/>
      <c r="D333" s="43"/>
      <c r="E333" s="44"/>
      <c r="F333" s="45" t="str">
        <f aca="false">IF($B333="","",N($D333)*IF(N($E333)&gt;0,$E333,IFERROR(INDEX(Costos!$I$23:$I$300,MATCH($B333,Costos!$A$23:$A$300,0)),0)))</f>
        <v/>
      </c>
      <c r="G333" s="42"/>
    </row>
    <row r="334" customFormat="false" ht="15.75" hidden="false" customHeight="true" outlineLevel="0" collapsed="false">
      <c r="A334" s="41"/>
      <c r="B334" s="42"/>
      <c r="C334" s="42"/>
      <c r="D334" s="43"/>
      <c r="E334" s="44"/>
      <c r="F334" s="45" t="str">
        <f aca="false">IF($B334="","",N($D334)*IF(N($E334)&gt;0,$E334,IFERROR(INDEX(Costos!$I$23:$I$300,MATCH($B334,Costos!$A$23:$A$300,0)),0)))</f>
        <v/>
      </c>
      <c r="G334" s="42"/>
    </row>
    <row r="335" customFormat="false" ht="15.75" hidden="false" customHeight="true" outlineLevel="0" collapsed="false">
      <c r="A335" s="41"/>
      <c r="B335" s="42"/>
      <c r="C335" s="42"/>
      <c r="D335" s="43"/>
      <c r="E335" s="44"/>
      <c r="F335" s="45" t="str">
        <f aca="false">IF($B335="","",N($D335)*IF(N($E335)&gt;0,$E335,IFERROR(INDEX(Costos!$I$23:$I$300,MATCH($B335,Costos!$A$23:$A$300,0)),0)))</f>
        <v/>
      </c>
      <c r="G335" s="42"/>
    </row>
    <row r="336" customFormat="false" ht="15.75" hidden="false" customHeight="true" outlineLevel="0" collapsed="false">
      <c r="A336" s="41"/>
      <c r="B336" s="42"/>
      <c r="C336" s="42"/>
      <c r="D336" s="43"/>
      <c r="E336" s="44"/>
      <c r="F336" s="45" t="str">
        <f aca="false">IF($B336="","",N($D336)*IF(N($E336)&gt;0,$E336,IFERROR(INDEX(Costos!$I$23:$I$300,MATCH($B336,Costos!$A$23:$A$300,0)),0)))</f>
        <v/>
      </c>
      <c r="G336" s="42"/>
    </row>
    <row r="337" customFormat="false" ht="15.75" hidden="false" customHeight="true" outlineLevel="0" collapsed="false">
      <c r="A337" s="41"/>
      <c r="B337" s="42"/>
      <c r="C337" s="42"/>
      <c r="D337" s="43"/>
      <c r="E337" s="44"/>
      <c r="F337" s="45" t="str">
        <f aca="false">IF($B337="","",N($D337)*IF(N($E337)&gt;0,$E337,IFERROR(INDEX(Costos!$I$23:$I$300,MATCH($B337,Costos!$A$23:$A$300,0)),0)))</f>
        <v/>
      </c>
      <c r="G337" s="42"/>
    </row>
    <row r="338" customFormat="false" ht="15.75" hidden="false" customHeight="true" outlineLevel="0" collapsed="false">
      <c r="A338" s="41"/>
      <c r="B338" s="42"/>
      <c r="C338" s="42"/>
      <c r="D338" s="43"/>
      <c r="E338" s="44"/>
      <c r="F338" s="45" t="str">
        <f aca="false">IF($B338="","",N($D338)*IF(N($E338)&gt;0,$E338,IFERROR(INDEX(Costos!$I$23:$I$300,MATCH($B338,Costos!$A$23:$A$300,0)),0)))</f>
        <v/>
      </c>
      <c r="G338" s="42"/>
    </row>
    <row r="339" customFormat="false" ht="15.75" hidden="false" customHeight="true" outlineLevel="0" collapsed="false">
      <c r="A339" s="41"/>
      <c r="B339" s="42"/>
      <c r="C339" s="42"/>
      <c r="D339" s="43"/>
      <c r="E339" s="44"/>
      <c r="F339" s="45" t="str">
        <f aca="false">IF($B339="","",N($D339)*IF(N($E339)&gt;0,$E339,IFERROR(INDEX(Costos!$I$23:$I$300,MATCH($B339,Costos!$A$23:$A$300,0)),0)))</f>
        <v/>
      </c>
      <c r="G339" s="42"/>
    </row>
    <row r="340" customFormat="false" ht="15.75" hidden="false" customHeight="true" outlineLevel="0" collapsed="false">
      <c r="A340" s="41"/>
      <c r="B340" s="42"/>
      <c r="C340" s="42"/>
      <c r="D340" s="43"/>
      <c r="E340" s="44"/>
      <c r="F340" s="45" t="str">
        <f aca="false">IF($B340="","",N($D340)*IF(N($E340)&gt;0,$E340,IFERROR(INDEX(Costos!$I$23:$I$300,MATCH($B340,Costos!$A$23:$A$300,0)),0)))</f>
        <v/>
      </c>
      <c r="G340" s="42"/>
    </row>
    <row r="341" customFormat="false" ht="15.75" hidden="false" customHeight="true" outlineLevel="0" collapsed="false">
      <c r="A341" s="41"/>
      <c r="B341" s="42"/>
      <c r="C341" s="42"/>
      <c r="D341" s="43"/>
      <c r="E341" s="44"/>
      <c r="F341" s="45" t="str">
        <f aca="false">IF($B341="","",N($D341)*IF(N($E341)&gt;0,$E341,IFERROR(INDEX(Costos!$I$23:$I$300,MATCH($B341,Costos!$A$23:$A$300,0)),0)))</f>
        <v/>
      </c>
      <c r="G341" s="42"/>
    </row>
    <row r="342" customFormat="false" ht="15.75" hidden="false" customHeight="true" outlineLevel="0" collapsed="false">
      <c r="A342" s="41"/>
      <c r="B342" s="42"/>
      <c r="C342" s="42"/>
      <c r="D342" s="43"/>
      <c r="E342" s="44"/>
      <c r="F342" s="45" t="str">
        <f aca="false">IF($B342="","",N($D342)*IF(N($E342)&gt;0,$E342,IFERROR(INDEX(Costos!$I$23:$I$300,MATCH($B342,Costos!$A$23:$A$300,0)),0)))</f>
        <v/>
      </c>
      <c r="G342" s="42"/>
    </row>
    <row r="343" customFormat="false" ht="15.75" hidden="false" customHeight="true" outlineLevel="0" collapsed="false">
      <c r="A343" s="41"/>
      <c r="B343" s="42"/>
      <c r="C343" s="42"/>
      <c r="D343" s="43"/>
      <c r="E343" s="44"/>
      <c r="F343" s="45" t="str">
        <f aca="false">IF($B343="","",N($D343)*IF(N($E343)&gt;0,$E343,IFERROR(INDEX(Costos!$I$23:$I$300,MATCH($B343,Costos!$A$23:$A$300,0)),0)))</f>
        <v/>
      </c>
      <c r="G343" s="42"/>
    </row>
    <row r="344" customFormat="false" ht="15.75" hidden="false" customHeight="true" outlineLevel="0" collapsed="false">
      <c r="A344" s="41"/>
      <c r="B344" s="42"/>
      <c r="C344" s="42"/>
      <c r="D344" s="43"/>
      <c r="E344" s="44"/>
      <c r="F344" s="45" t="str">
        <f aca="false">IF($B344="","",N($D344)*IF(N($E344)&gt;0,$E344,IFERROR(INDEX(Costos!$I$23:$I$300,MATCH($B344,Costos!$A$23:$A$300,0)),0)))</f>
        <v/>
      </c>
      <c r="G344" s="42"/>
    </row>
    <row r="345" customFormat="false" ht="15.75" hidden="false" customHeight="true" outlineLevel="0" collapsed="false">
      <c r="A345" s="41"/>
      <c r="B345" s="42"/>
      <c r="C345" s="42"/>
      <c r="D345" s="43"/>
      <c r="E345" s="44"/>
      <c r="F345" s="45" t="str">
        <f aca="false">IF($B345="","",N($D345)*IF(N($E345)&gt;0,$E345,IFERROR(INDEX(Costos!$I$23:$I$300,MATCH($B345,Costos!$A$23:$A$300,0)),0)))</f>
        <v/>
      </c>
      <c r="G345" s="42"/>
    </row>
    <row r="346" customFormat="false" ht="15.75" hidden="false" customHeight="true" outlineLevel="0" collapsed="false">
      <c r="A346" s="41"/>
      <c r="B346" s="42"/>
      <c r="C346" s="42"/>
      <c r="D346" s="43"/>
      <c r="E346" s="44"/>
      <c r="F346" s="45" t="str">
        <f aca="false">IF($B346="","",N($D346)*IF(N($E346)&gt;0,$E346,IFERROR(INDEX(Costos!$I$23:$I$300,MATCH($B346,Costos!$A$23:$A$300,0)),0)))</f>
        <v/>
      </c>
      <c r="G346" s="42"/>
    </row>
    <row r="347" customFormat="false" ht="15.75" hidden="false" customHeight="true" outlineLevel="0" collapsed="false">
      <c r="A347" s="41"/>
      <c r="B347" s="42"/>
      <c r="C347" s="42"/>
      <c r="D347" s="43"/>
      <c r="E347" s="44"/>
      <c r="F347" s="45" t="str">
        <f aca="false">IF($B347="","",N($D347)*IF(N($E347)&gt;0,$E347,IFERROR(INDEX(Costos!$I$23:$I$300,MATCH($B347,Costos!$A$23:$A$300,0)),0)))</f>
        <v/>
      </c>
      <c r="G347" s="42"/>
    </row>
    <row r="348" customFormat="false" ht="15.75" hidden="false" customHeight="true" outlineLevel="0" collapsed="false">
      <c r="A348" s="41"/>
      <c r="B348" s="42"/>
      <c r="C348" s="42"/>
      <c r="D348" s="43"/>
      <c r="E348" s="44"/>
      <c r="F348" s="45" t="str">
        <f aca="false">IF($B348="","",N($D348)*IF(N($E348)&gt;0,$E348,IFERROR(INDEX(Costos!$I$23:$I$300,MATCH($B348,Costos!$A$23:$A$300,0)),0)))</f>
        <v/>
      </c>
      <c r="G348" s="42"/>
    </row>
    <row r="349" customFormat="false" ht="15.75" hidden="false" customHeight="true" outlineLevel="0" collapsed="false">
      <c r="A349" s="41"/>
      <c r="B349" s="42"/>
      <c r="C349" s="42"/>
      <c r="D349" s="43"/>
      <c r="E349" s="44"/>
      <c r="F349" s="45" t="str">
        <f aca="false">IF($B349="","",N($D349)*IF(N($E349)&gt;0,$E349,IFERROR(INDEX(Costos!$I$23:$I$300,MATCH($B349,Costos!$A$23:$A$300,0)),0)))</f>
        <v/>
      </c>
      <c r="G349" s="42"/>
    </row>
    <row r="350" customFormat="false" ht="15.75" hidden="false" customHeight="true" outlineLevel="0" collapsed="false">
      <c r="A350" s="41"/>
      <c r="B350" s="42"/>
      <c r="C350" s="42"/>
      <c r="D350" s="43"/>
      <c r="E350" s="44"/>
      <c r="F350" s="45" t="str">
        <f aca="false">IF($B350="","",N($D350)*IF(N($E350)&gt;0,$E350,IFERROR(INDEX(Costos!$I$23:$I$300,MATCH($B350,Costos!$A$23:$A$300,0)),0)))</f>
        <v/>
      </c>
      <c r="G350" s="42"/>
    </row>
    <row r="351" customFormat="false" ht="15.75" hidden="false" customHeight="true" outlineLevel="0" collapsed="false">
      <c r="A351" s="41"/>
      <c r="B351" s="42"/>
      <c r="C351" s="42"/>
      <c r="D351" s="43"/>
      <c r="E351" s="44"/>
      <c r="F351" s="45" t="str">
        <f aca="false">IF($B351="","",N($D351)*IF(N($E351)&gt;0,$E351,IFERROR(INDEX(Costos!$I$23:$I$300,MATCH($B351,Costos!$A$23:$A$300,0)),0)))</f>
        <v/>
      </c>
      <c r="G351" s="42"/>
    </row>
    <row r="352" customFormat="false" ht="15.75" hidden="false" customHeight="true" outlineLevel="0" collapsed="false">
      <c r="A352" s="41"/>
      <c r="B352" s="42"/>
      <c r="C352" s="42"/>
      <c r="D352" s="43"/>
      <c r="E352" s="44"/>
      <c r="F352" s="45" t="str">
        <f aca="false">IF($B352="","",N($D352)*IF(N($E352)&gt;0,$E352,IFERROR(INDEX(Costos!$I$23:$I$300,MATCH($B352,Costos!$A$23:$A$300,0)),0)))</f>
        <v/>
      </c>
      <c r="G352" s="42"/>
    </row>
    <row r="353" customFormat="false" ht="15.75" hidden="false" customHeight="true" outlineLevel="0" collapsed="false">
      <c r="A353" s="41"/>
      <c r="B353" s="42"/>
      <c r="C353" s="42"/>
      <c r="D353" s="43"/>
      <c r="E353" s="44"/>
      <c r="F353" s="45" t="str">
        <f aca="false">IF($B353="","",N($D353)*IF(N($E353)&gt;0,$E353,IFERROR(INDEX(Costos!$I$23:$I$300,MATCH($B353,Costos!$A$23:$A$300,0)),0)))</f>
        <v/>
      </c>
      <c r="G353" s="42"/>
    </row>
    <row r="354" customFormat="false" ht="15.75" hidden="false" customHeight="true" outlineLevel="0" collapsed="false">
      <c r="A354" s="41"/>
      <c r="B354" s="42"/>
      <c r="C354" s="42"/>
      <c r="D354" s="43"/>
      <c r="E354" s="44"/>
      <c r="F354" s="45" t="str">
        <f aca="false">IF($B354="","",N($D354)*IF(N($E354)&gt;0,$E354,IFERROR(INDEX(Costos!$I$23:$I$300,MATCH($B354,Costos!$A$23:$A$300,0)),0)))</f>
        <v/>
      </c>
      <c r="G354" s="42"/>
    </row>
    <row r="355" customFormat="false" ht="15.75" hidden="false" customHeight="true" outlineLevel="0" collapsed="false">
      <c r="A355" s="41"/>
      <c r="B355" s="42"/>
      <c r="C355" s="42"/>
      <c r="D355" s="43"/>
      <c r="E355" s="44"/>
      <c r="F355" s="45" t="str">
        <f aca="false">IF($B355="","",N($D355)*IF(N($E355)&gt;0,$E355,IFERROR(INDEX(Costos!$I$23:$I$300,MATCH($B355,Costos!$A$23:$A$300,0)),0)))</f>
        <v/>
      </c>
      <c r="G355" s="42"/>
    </row>
    <row r="356" customFormat="false" ht="15.75" hidden="false" customHeight="true" outlineLevel="0" collapsed="false">
      <c r="A356" s="41"/>
      <c r="B356" s="42"/>
      <c r="C356" s="42"/>
      <c r="D356" s="43"/>
      <c r="E356" s="44"/>
      <c r="F356" s="45" t="str">
        <f aca="false">IF($B356="","",N($D356)*IF(N($E356)&gt;0,$E356,IFERROR(INDEX(Costos!$I$23:$I$300,MATCH($B356,Costos!$A$23:$A$300,0)),0)))</f>
        <v/>
      </c>
      <c r="G356" s="42"/>
    </row>
    <row r="357" customFormat="false" ht="15.75" hidden="false" customHeight="true" outlineLevel="0" collapsed="false">
      <c r="A357" s="41"/>
      <c r="B357" s="42"/>
      <c r="C357" s="42"/>
      <c r="D357" s="43"/>
      <c r="E357" s="44"/>
      <c r="F357" s="45" t="str">
        <f aca="false">IF($B357="","",N($D357)*IF(N($E357)&gt;0,$E357,IFERROR(INDEX(Costos!$I$23:$I$300,MATCH($B357,Costos!$A$23:$A$300,0)),0)))</f>
        <v/>
      </c>
      <c r="G357" s="42"/>
    </row>
    <row r="358" customFormat="false" ht="15.75" hidden="false" customHeight="true" outlineLevel="0" collapsed="false">
      <c r="A358" s="41"/>
      <c r="B358" s="42"/>
      <c r="C358" s="42"/>
      <c r="D358" s="43"/>
      <c r="E358" s="44"/>
      <c r="F358" s="45" t="str">
        <f aca="false">IF($B358="","",N($D358)*IF(N($E358)&gt;0,$E358,IFERROR(INDEX(Costos!$I$23:$I$300,MATCH($B358,Costos!$A$23:$A$300,0)),0)))</f>
        <v/>
      </c>
      <c r="G358" s="42"/>
    </row>
    <row r="359" customFormat="false" ht="15.75" hidden="false" customHeight="true" outlineLevel="0" collapsed="false">
      <c r="A359" s="41"/>
      <c r="B359" s="42"/>
      <c r="C359" s="42"/>
      <c r="D359" s="43"/>
      <c r="E359" s="44"/>
      <c r="F359" s="45" t="str">
        <f aca="false">IF($B359="","",N($D359)*IF(N($E359)&gt;0,$E359,IFERROR(INDEX(Costos!$I$23:$I$300,MATCH($B359,Costos!$A$23:$A$300,0)),0)))</f>
        <v/>
      </c>
      <c r="G359" s="42"/>
    </row>
    <row r="360" customFormat="false" ht="15.75" hidden="false" customHeight="true" outlineLevel="0" collapsed="false">
      <c r="A360" s="41"/>
      <c r="B360" s="42"/>
      <c r="C360" s="42"/>
      <c r="D360" s="43"/>
      <c r="E360" s="44"/>
      <c r="F360" s="45" t="str">
        <f aca="false">IF($B360="","",N($D360)*IF(N($E360)&gt;0,$E360,IFERROR(INDEX(Costos!$I$23:$I$300,MATCH($B360,Costos!$A$23:$A$300,0)),0)))</f>
        <v/>
      </c>
      <c r="G360" s="42"/>
    </row>
    <row r="361" customFormat="false" ht="15.75" hidden="false" customHeight="true" outlineLevel="0" collapsed="false">
      <c r="A361" s="41"/>
      <c r="B361" s="42"/>
      <c r="C361" s="42"/>
      <c r="D361" s="43"/>
      <c r="E361" s="44"/>
      <c r="F361" s="45" t="str">
        <f aca="false">IF($B361="","",N($D361)*IF(N($E361)&gt;0,$E361,IFERROR(INDEX(Costos!$I$23:$I$300,MATCH($B361,Costos!$A$23:$A$300,0)),0)))</f>
        <v/>
      </c>
      <c r="G361" s="42"/>
    </row>
    <row r="362" customFormat="false" ht="15.75" hidden="false" customHeight="true" outlineLevel="0" collapsed="false">
      <c r="A362" s="41"/>
      <c r="B362" s="42"/>
      <c r="C362" s="42"/>
      <c r="D362" s="43"/>
      <c r="E362" s="44"/>
      <c r="F362" s="45" t="str">
        <f aca="false">IF($B362="","",N($D362)*IF(N($E362)&gt;0,$E362,IFERROR(INDEX(Costos!$I$23:$I$300,MATCH($B362,Costos!$A$23:$A$300,0)),0)))</f>
        <v/>
      </c>
      <c r="G362" s="42"/>
    </row>
    <row r="363" customFormat="false" ht="15.75" hidden="false" customHeight="true" outlineLevel="0" collapsed="false">
      <c r="A363" s="41"/>
      <c r="B363" s="42"/>
      <c r="C363" s="42"/>
      <c r="D363" s="43"/>
      <c r="E363" s="44"/>
      <c r="F363" s="45" t="str">
        <f aca="false">IF($B363="","",N($D363)*IF(N($E363)&gt;0,$E363,IFERROR(INDEX(Costos!$I$23:$I$300,MATCH($B363,Costos!$A$23:$A$300,0)),0)))</f>
        <v/>
      </c>
      <c r="G363" s="42"/>
    </row>
    <row r="364" customFormat="false" ht="15.75" hidden="false" customHeight="true" outlineLevel="0" collapsed="false">
      <c r="A364" s="41"/>
      <c r="B364" s="42"/>
      <c r="C364" s="42"/>
      <c r="D364" s="43"/>
      <c r="E364" s="44"/>
      <c r="F364" s="45" t="str">
        <f aca="false">IF($B364="","",N($D364)*IF(N($E364)&gt;0,$E364,IFERROR(INDEX(Costos!$I$23:$I$300,MATCH($B364,Costos!$A$23:$A$300,0)),0)))</f>
        <v/>
      </c>
      <c r="G364" s="42"/>
    </row>
    <row r="365" customFormat="false" ht="15.75" hidden="false" customHeight="true" outlineLevel="0" collapsed="false">
      <c r="A365" s="41"/>
      <c r="B365" s="42"/>
      <c r="C365" s="42"/>
      <c r="D365" s="43"/>
      <c r="E365" s="44"/>
      <c r="F365" s="45" t="str">
        <f aca="false">IF($B365="","",N($D365)*IF(N($E365)&gt;0,$E365,IFERROR(INDEX(Costos!$I$23:$I$300,MATCH($B365,Costos!$A$23:$A$300,0)),0)))</f>
        <v/>
      </c>
      <c r="G365" s="42"/>
    </row>
    <row r="366" customFormat="false" ht="15.75" hidden="false" customHeight="true" outlineLevel="0" collapsed="false">
      <c r="A366" s="41"/>
      <c r="B366" s="42"/>
      <c r="C366" s="42"/>
      <c r="D366" s="43"/>
      <c r="E366" s="44"/>
      <c r="F366" s="45" t="str">
        <f aca="false">IF($B366="","",N($D366)*IF(N($E366)&gt;0,$E366,IFERROR(INDEX(Costos!$I$23:$I$300,MATCH($B366,Costos!$A$23:$A$300,0)),0)))</f>
        <v/>
      </c>
      <c r="G366" s="42"/>
    </row>
    <row r="367" customFormat="false" ht="15.75" hidden="false" customHeight="true" outlineLevel="0" collapsed="false">
      <c r="A367" s="41"/>
      <c r="B367" s="42"/>
      <c r="C367" s="42"/>
      <c r="D367" s="43"/>
      <c r="E367" s="44"/>
      <c r="F367" s="45" t="str">
        <f aca="false">IF($B367="","",N($D367)*IF(N($E367)&gt;0,$E367,IFERROR(INDEX(Costos!$I$23:$I$300,MATCH($B367,Costos!$A$23:$A$300,0)),0)))</f>
        <v/>
      </c>
      <c r="G367" s="42"/>
    </row>
    <row r="368" customFormat="false" ht="15.75" hidden="false" customHeight="true" outlineLevel="0" collapsed="false">
      <c r="A368" s="41"/>
      <c r="B368" s="42"/>
      <c r="C368" s="42"/>
      <c r="D368" s="43"/>
      <c r="E368" s="44"/>
      <c r="F368" s="45" t="str">
        <f aca="false">IF($B368="","",N($D368)*IF(N($E368)&gt;0,$E368,IFERROR(INDEX(Costos!$I$23:$I$300,MATCH($B368,Costos!$A$23:$A$300,0)),0)))</f>
        <v/>
      </c>
      <c r="G368" s="42"/>
    </row>
    <row r="369" customFormat="false" ht="15.75" hidden="false" customHeight="true" outlineLevel="0" collapsed="false">
      <c r="A369" s="41"/>
      <c r="B369" s="42"/>
      <c r="C369" s="42"/>
      <c r="D369" s="43"/>
      <c r="E369" s="44"/>
      <c r="F369" s="45" t="str">
        <f aca="false">IF($B369="","",N($D369)*IF(N($E369)&gt;0,$E369,IFERROR(INDEX(Costos!$I$23:$I$300,MATCH($B369,Costos!$A$23:$A$300,0)),0)))</f>
        <v/>
      </c>
      <c r="G369" s="42"/>
    </row>
    <row r="370" customFormat="false" ht="15.75" hidden="false" customHeight="true" outlineLevel="0" collapsed="false">
      <c r="A370" s="41"/>
      <c r="B370" s="42"/>
      <c r="C370" s="42"/>
      <c r="D370" s="43"/>
      <c r="E370" s="44"/>
      <c r="F370" s="45" t="str">
        <f aca="false">IF($B370="","",N($D370)*IF(N($E370)&gt;0,$E370,IFERROR(INDEX(Costos!$I$23:$I$300,MATCH($B370,Costos!$A$23:$A$300,0)),0)))</f>
        <v/>
      </c>
      <c r="G370" s="42"/>
    </row>
    <row r="371" customFormat="false" ht="15.75" hidden="false" customHeight="true" outlineLevel="0" collapsed="false">
      <c r="A371" s="41"/>
      <c r="B371" s="42"/>
      <c r="C371" s="42"/>
      <c r="D371" s="43"/>
      <c r="E371" s="44"/>
      <c r="F371" s="45" t="str">
        <f aca="false">IF($B371="","",N($D371)*IF(N($E371)&gt;0,$E371,IFERROR(INDEX(Costos!$I$23:$I$300,MATCH($B371,Costos!$A$23:$A$300,0)),0)))</f>
        <v/>
      </c>
      <c r="G371" s="42"/>
    </row>
    <row r="372" customFormat="false" ht="15.75" hidden="false" customHeight="true" outlineLevel="0" collapsed="false">
      <c r="A372" s="41"/>
      <c r="B372" s="42"/>
      <c r="C372" s="42"/>
      <c r="D372" s="43"/>
      <c r="E372" s="44"/>
      <c r="F372" s="45" t="str">
        <f aca="false">IF($B372="","",N($D372)*IF(N($E372)&gt;0,$E372,IFERROR(INDEX(Costos!$I$23:$I$300,MATCH($B372,Costos!$A$23:$A$300,0)),0)))</f>
        <v/>
      </c>
      <c r="G372" s="42"/>
    </row>
    <row r="373" customFormat="false" ht="15.75" hidden="false" customHeight="true" outlineLevel="0" collapsed="false">
      <c r="A373" s="41"/>
      <c r="B373" s="42"/>
      <c r="C373" s="42"/>
      <c r="D373" s="43"/>
      <c r="E373" s="44"/>
      <c r="F373" s="45" t="str">
        <f aca="false">IF($B373="","",N($D373)*IF(N($E373)&gt;0,$E373,IFERROR(INDEX(Costos!$I$23:$I$300,MATCH($B373,Costos!$A$23:$A$300,0)),0)))</f>
        <v/>
      </c>
      <c r="G373" s="42"/>
    </row>
    <row r="374" customFormat="false" ht="15.75" hidden="false" customHeight="true" outlineLevel="0" collapsed="false">
      <c r="A374" s="41"/>
      <c r="B374" s="42"/>
      <c r="C374" s="42"/>
      <c r="D374" s="43"/>
      <c r="E374" s="44"/>
      <c r="F374" s="45" t="str">
        <f aca="false">IF($B374="","",N($D374)*IF(N($E374)&gt;0,$E374,IFERROR(INDEX(Costos!$I$23:$I$300,MATCH($B374,Costos!$A$23:$A$300,0)),0)))</f>
        <v/>
      </c>
      <c r="G374" s="42"/>
    </row>
    <row r="375" customFormat="false" ht="15.75" hidden="false" customHeight="true" outlineLevel="0" collapsed="false">
      <c r="A375" s="41"/>
      <c r="B375" s="42"/>
      <c r="C375" s="42"/>
      <c r="D375" s="43"/>
      <c r="E375" s="44"/>
      <c r="F375" s="45" t="str">
        <f aca="false">IF($B375="","",N($D375)*IF(N($E375)&gt;0,$E375,IFERROR(INDEX(Costos!$I$23:$I$300,MATCH($B375,Costos!$A$23:$A$300,0)),0)))</f>
        <v/>
      </c>
      <c r="G375" s="42"/>
    </row>
    <row r="376" customFormat="false" ht="15.75" hidden="false" customHeight="true" outlineLevel="0" collapsed="false">
      <c r="A376" s="41"/>
      <c r="B376" s="42"/>
      <c r="C376" s="42"/>
      <c r="D376" s="43"/>
      <c r="E376" s="44"/>
      <c r="F376" s="45" t="str">
        <f aca="false">IF($B376="","",N($D376)*IF(N($E376)&gt;0,$E376,IFERROR(INDEX(Costos!$I$23:$I$300,MATCH($B376,Costos!$A$23:$A$300,0)),0)))</f>
        <v/>
      </c>
      <c r="G376" s="42"/>
    </row>
    <row r="377" customFormat="false" ht="15.75" hidden="false" customHeight="true" outlineLevel="0" collapsed="false">
      <c r="A377" s="41"/>
      <c r="B377" s="42"/>
      <c r="C377" s="42"/>
      <c r="D377" s="43"/>
      <c r="E377" s="44"/>
      <c r="F377" s="45" t="str">
        <f aca="false">IF($B377="","",N($D377)*IF(N($E377)&gt;0,$E377,IFERROR(INDEX(Costos!$I$23:$I$300,MATCH($B377,Costos!$A$23:$A$300,0)),0)))</f>
        <v/>
      </c>
      <c r="G377" s="42"/>
    </row>
    <row r="378" customFormat="false" ht="15.75" hidden="false" customHeight="true" outlineLevel="0" collapsed="false">
      <c r="A378" s="41"/>
      <c r="B378" s="42"/>
      <c r="C378" s="42"/>
      <c r="D378" s="43"/>
      <c r="E378" s="44"/>
      <c r="F378" s="45" t="str">
        <f aca="false">IF($B378="","",N($D378)*IF(N($E378)&gt;0,$E378,IFERROR(INDEX(Costos!$I$23:$I$300,MATCH($B378,Costos!$A$23:$A$300,0)),0)))</f>
        <v/>
      </c>
      <c r="G378" s="42"/>
    </row>
    <row r="379" customFormat="false" ht="15.75" hidden="false" customHeight="true" outlineLevel="0" collapsed="false">
      <c r="A379" s="41"/>
      <c r="B379" s="42"/>
      <c r="C379" s="42"/>
      <c r="D379" s="43"/>
      <c r="E379" s="44"/>
      <c r="F379" s="45" t="str">
        <f aca="false">IF($B379="","",N($D379)*IF(N($E379)&gt;0,$E379,IFERROR(INDEX(Costos!$I$23:$I$300,MATCH($B379,Costos!$A$23:$A$300,0)),0)))</f>
        <v/>
      </c>
      <c r="G379" s="42"/>
    </row>
    <row r="380" customFormat="false" ht="15.75" hidden="false" customHeight="true" outlineLevel="0" collapsed="false">
      <c r="A380" s="41"/>
      <c r="B380" s="42"/>
      <c r="C380" s="42"/>
      <c r="D380" s="43"/>
      <c r="E380" s="44"/>
      <c r="F380" s="45" t="str">
        <f aca="false">IF($B380="","",N($D380)*IF(N($E380)&gt;0,$E380,IFERROR(INDEX(Costos!$I$23:$I$300,MATCH($B380,Costos!$A$23:$A$300,0)),0)))</f>
        <v/>
      </c>
      <c r="G380" s="42"/>
    </row>
    <row r="381" customFormat="false" ht="15.75" hidden="false" customHeight="true" outlineLevel="0" collapsed="false">
      <c r="A381" s="41"/>
      <c r="B381" s="42"/>
      <c r="C381" s="42"/>
      <c r="D381" s="43"/>
      <c r="E381" s="44"/>
      <c r="F381" s="45" t="str">
        <f aca="false">IF($B381="","",N($D381)*IF(N($E381)&gt;0,$E381,IFERROR(INDEX(Costos!$I$23:$I$300,MATCH($B381,Costos!$A$23:$A$300,0)),0)))</f>
        <v/>
      </c>
      <c r="G381" s="42"/>
    </row>
    <row r="382" customFormat="false" ht="15.75" hidden="false" customHeight="true" outlineLevel="0" collapsed="false">
      <c r="A382" s="41"/>
      <c r="B382" s="42"/>
      <c r="C382" s="42"/>
      <c r="D382" s="43"/>
      <c r="E382" s="44"/>
      <c r="F382" s="45" t="str">
        <f aca="false">IF($B382="","",N($D382)*IF(N($E382)&gt;0,$E382,IFERROR(INDEX(Costos!$I$23:$I$300,MATCH($B382,Costos!$A$23:$A$300,0)),0)))</f>
        <v/>
      </c>
      <c r="G382" s="42"/>
    </row>
    <row r="383" customFormat="false" ht="15.75" hidden="false" customHeight="true" outlineLevel="0" collapsed="false">
      <c r="A383" s="41"/>
      <c r="B383" s="42"/>
      <c r="C383" s="42"/>
      <c r="D383" s="43"/>
      <c r="E383" s="44"/>
      <c r="F383" s="45" t="str">
        <f aca="false">IF($B383="","",N($D383)*IF(N($E383)&gt;0,$E383,IFERROR(INDEX(Costos!$I$23:$I$300,MATCH($B383,Costos!$A$23:$A$300,0)),0)))</f>
        <v/>
      </c>
      <c r="G383" s="42"/>
    </row>
    <row r="384" customFormat="false" ht="15.75" hidden="false" customHeight="true" outlineLevel="0" collapsed="false">
      <c r="A384" s="41"/>
      <c r="B384" s="42"/>
      <c r="C384" s="42"/>
      <c r="D384" s="43"/>
      <c r="E384" s="44"/>
      <c r="F384" s="45" t="str">
        <f aca="false">IF($B384="","",N($D384)*IF(N($E384)&gt;0,$E384,IFERROR(INDEX(Costos!$I$23:$I$300,MATCH($B384,Costos!$A$23:$A$300,0)),0)))</f>
        <v/>
      </c>
      <c r="G384" s="42"/>
    </row>
    <row r="385" customFormat="false" ht="15.75" hidden="false" customHeight="true" outlineLevel="0" collapsed="false">
      <c r="A385" s="41"/>
      <c r="B385" s="42"/>
      <c r="C385" s="42"/>
      <c r="D385" s="43"/>
      <c r="E385" s="44"/>
      <c r="F385" s="45" t="str">
        <f aca="false">IF($B385="","",N($D385)*IF(N($E385)&gt;0,$E385,IFERROR(INDEX(Costos!$I$23:$I$300,MATCH($B385,Costos!$A$23:$A$300,0)),0)))</f>
        <v/>
      </c>
      <c r="G385" s="42"/>
    </row>
    <row r="386" customFormat="false" ht="15.75" hidden="false" customHeight="true" outlineLevel="0" collapsed="false">
      <c r="A386" s="41"/>
      <c r="B386" s="42"/>
      <c r="C386" s="42"/>
      <c r="D386" s="43"/>
      <c r="E386" s="44"/>
      <c r="F386" s="45" t="str">
        <f aca="false">IF($B386="","",N($D386)*IF(N($E386)&gt;0,$E386,IFERROR(INDEX(Costos!$I$23:$I$300,MATCH($B386,Costos!$A$23:$A$300,0)),0)))</f>
        <v/>
      </c>
      <c r="G386" s="42"/>
    </row>
    <row r="387" customFormat="false" ht="15.75" hidden="false" customHeight="true" outlineLevel="0" collapsed="false">
      <c r="A387" s="41"/>
      <c r="B387" s="42"/>
      <c r="C387" s="42"/>
      <c r="D387" s="43"/>
      <c r="E387" s="44"/>
      <c r="F387" s="45" t="str">
        <f aca="false">IF($B387="","",N($D387)*IF(N($E387)&gt;0,$E387,IFERROR(INDEX(Costos!$I$23:$I$300,MATCH($B387,Costos!$A$23:$A$300,0)),0)))</f>
        <v/>
      </c>
      <c r="G387" s="42"/>
    </row>
    <row r="388" customFormat="false" ht="15.75" hidden="false" customHeight="true" outlineLevel="0" collapsed="false">
      <c r="A388" s="41"/>
      <c r="B388" s="42"/>
      <c r="C388" s="42"/>
      <c r="D388" s="43"/>
      <c r="E388" s="44"/>
      <c r="F388" s="45" t="str">
        <f aca="false">IF($B388="","",N($D388)*IF(N($E388)&gt;0,$E388,IFERROR(INDEX(Costos!$I$23:$I$300,MATCH($B388,Costos!$A$23:$A$300,0)),0)))</f>
        <v/>
      </c>
      <c r="G388" s="42"/>
    </row>
    <row r="389" customFormat="false" ht="15.75" hidden="false" customHeight="true" outlineLevel="0" collapsed="false">
      <c r="A389" s="41"/>
      <c r="B389" s="42"/>
      <c r="C389" s="42"/>
      <c r="D389" s="43"/>
      <c r="E389" s="44"/>
      <c r="F389" s="45" t="str">
        <f aca="false">IF($B389="","",N($D389)*IF(N($E389)&gt;0,$E389,IFERROR(INDEX(Costos!$I$23:$I$300,MATCH($B389,Costos!$A$23:$A$300,0)),0)))</f>
        <v/>
      </c>
      <c r="G389" s="42"/>
    </row>
    <row r="390" customFormat="false" ht="15.75" hidden="false" customHeight="true" outlineLevel="0" collapsed="false">
      <c r="A390" s="41"/>
      <c r="B390" s="42"/>
      <c r="C390" s="42"/>
      <c r="D390" s="43"/>
      <c r="E390" s="44"/>
      <c r="F390" s="45" t="str">
        <f aca="false">IF($B390="","",N($D390)*IF(N($E390)&gt;0,$E390,IFERROR(INDEX(Costos!$I$23:$I$300,MATCH($B390,Costos!$A$23:$A$300,0)),0)))</f>
        <v/>
      </c>
      <c r="G390" s="42"/>
    </row>
    <row r="391" customFormat="false" ht="15.75" hidden="false" customHeight="true" outlineLevel="0" collapsed="false">
      <c r="A391" s="41"/>
      <c r="B391" s="42"/>
      <c r="C391" s="42"/>
      <c r="D391" s="43"/>
      <c r="E391" s="44"/>
      <c r="F391" s="45" t="str">
        <f aca="false">IF($B391="","",N($D391)*IF(N($E391)&gt;0,$E391,IFERROR(INDEX(Costos!$I$23:$I$300,MATCH($B391,Costos!$A$23:$A$300,0)),0)))</f>
        <v/>
      </c>
      <c r="G391" s="42"/>
    </row>
    <row r="392" customFormat="false" ht="15.75" hidden="false" customHeight="true" outlineLevel="0" collapsed="false">
      <c r="A392" s="41"/>
      <c r="B392" s="42"/>
      <c r="C392" s="42"/>
      <c r="D392" s="43"/>
      <c r="E392" s="44"/>
      <c r="F392" s="45" t="str">
        <f aca="false">IF($B392="","",N($D392)*IF(N($E392)&gt;0,$E392,IFERROR(INDEX(Costos!$I$23:$I$300,MATCH($B392,Costos!$A$23:$A$300,0)),0)))</f>
        <v/>
      </c>
      <c r="G392" s="42"/>
    </row>
    <row r="393" customFormat="false" ht="15.75" hidden="false" customHeight="true" outlineLevel="0" collapsed="false">
      <c r="A393" s="41"/>
      <c r="B393" s="42"/>
      <c r="C393" s="42"/>
      <c r="D393" s="43"/>
      <c r="E393" s="44"/>
      <c r="F393" s="45" t="str">
        <f aca="false">IF($B393="","",N($D393)*IF(N($E393)&gt;0,$E393,IFERROR(INDEX(Costos!$I$23:$I$300,MATCH($B393,Costos!$A$23:$A$300,0)),0)))</f>
        <v/>
      </c>
      <c r="G393" s="42"/>
    </row>
    <row r="394" customFormat="false" ht="15.75" hidden="false" customHeight="true" outlineLevel="0" collapsed="false">
      <c r="A394" s="41"/>
      <c r="B394" s="42"/>
      <c r="C394" s="42"/>
      <c r="D394" s="43"/>
      <c r="E394" s="44"/>
      <c r="F394" s="45" t="str">
        <f aca="false">IF($B394="","",N($D394)*IF(N($E394)&gt;0,$E394,IFERROR(INDEX(Costos!$I$23:$I$300,MATCH($B394,Costos!$A$23:$A$300,0)),0)))</f>
        <v/>
      </c>
      <c r="G394" s="42"/>
    </row>
    <row r="395" customFormat="false" ht="15.75" hidden="false" customHeight="true" outlineLevel="0" collapsed="false">
      <c r="A395" s="41"/>
      <c r="B395" s="42"/>
      <c r="C395" s="42"/>
      <c r="D395" s="43"/>
      <c r="E395" s="44"/>
      <c r="F395" s="45" t="str">
        <f aca="false">IF($B395="","",N($D395)*IF(N($E395)&gt;0,$E395,IFERROR(INDEX(Costos!$I$23:$I$300,MATCH($B395,Costos!$A$23:$A$300,0)),0)))</f>
        <v/>
      </c>
      <c r="G395" s="42"/>
    </row>
    <row r="396" customFormat="false" ht="15.75" hidden="false" customHeight="true" outlineLevel="0" collapsed="false">
      <c r="A396" s="41"/>
      <c r="B396" s="42"/>
      <c r="C396" s="42"/>
      <c r="D396" s="43"/>
      <c r="E396" s="44"/>
      <c r="F396" s="45" t="str">
        <f aca="false">IF($B396="","",N($D396)*IF(N($E396)&gt;0,$E396,IFERROR(INDEX(Costos!$I$23:$I$300,MATCH($B396,Costos!$A$23:$A$300,0)),0)))</f>
        <v/>
      </c>
      <c r="G396" s="42"/>
    </row>
    <row r="397" customFormat="false" ht="15.75" hidden="false" customHeight="true" outlineLevel="0" collapsed="false">
      <c r="A397" s="41"/>
      <c r="B397" s="42"/>
      <c r="C397" s="42"/>
      <c r="D397" s="43"/>
      <c r="E397" s="44"/>
      <c r="F397" s="45" t="str">
        <f aca="false">IF($B397="","",N($D397)*IF(N($E397)&gt;0,$E397,IFERROR(INDEX(Costos!$I$23:$I$300,MATCH($B397,Costos!$A$23:$A$300,0)),0)))</f>
        <v/>
      </c>
      <c r="G397" s="42"/>
    </row>
    <row r="398" customFormat="false" ht="15.75" hidden="false" customHeight="true" outlineLevel="0" collapsed="false">
      <c r="A398" s="41"/>
      <c r="B398" s="42"/>
      <c r="C398" s="42"/>
      <c r="D398" s="43"/>
      <c r="E398" s="44"/>
      <c r="F398" s="45" t="str">
        <f aca="false">IF($B398="","",N($D398)*IF(N($E398)&gt;0,$E398,IFERROR(INDEX(Costos!$I$23:$I$300,MATCH($B398,Costos!$A$23:$A$300,0)),0)))</f>
        <v/>
      </c>
      <c r="G398" s="42"/>
    </row>
    <row r="399" customFormat="false" ht="15.75" hidden="false" customHeight="true" outlineLevel="0" collapsed="false">
      <c r="A399" s="41"/>
      <c r="B399" s="42"/>
      <c r="C399" s="42"/>
      <c r="D399" s="43"/>
      <c r="E399" s="44"/>
      <c r="F399" s="45" t="str">
        <f aca="false">IF($B399="","",N($D399)*IF(N($E399)&gt;0,$E399,IFERROR(INDEX(Costos!$I$23:$I$300,MATCH($B399,Costos!$A$23:$A$300,0)),0)))</f>
        <v/>
      </c>
      <c r="G399" s="42"/>
    </row>
    <row r="400" customFormat="false" ht="15.75" hidden="false" customHeight="true" outlineLevel="0" collapsed="false">
      <c r="A400" s="41"/>
      <c r="B400" s="42"/>
      <c r="C400" s="42"/>
      <c r="D400" s="43"/>
      <c r="E400" s="44"/>
      <c r="F400" s="45" t="str">
        <f aca="false">IF($B400="","",N($D400)*IF(N($E400)&gt;0,$E400,IFERROR(INDEX(Costos!$I$23:$I$300,MATCH($B400,Costos!$A$23:$A$300,0)),0)))</f>
        <v/>
      </c>
      <c r="G400" s="42"/>
    </row>
    <row r="401" customFormat="false" ht="15.75" hidden="false" customHeight="true" outlineLevel="0" collapsed="false">
      <c r="A401" s="41"/>
      <c r="B401" s="42"/>
      <c r="C401" s="42"/>
      <c r="D401" s="43"/>
      <c r="E401" s="44"/>
      <c r="F401" s="45" t="str">
        <f aca="false">IF($B401="","",N($D401)*IF(N($E401)&gt;0,$E401,IFERROR(INDEX(Costos!$I$23:$I$300,MATCH($B401,Costos!$A$23:$A$300,0)),0)))</f>
        <v/>
      </c>
      <c r="G401" s="42"/>
    </row>
    <row r="402" customFormat="false" ht="15.75" hidden="false" customHeight="true" outlineLevel="0" collapsed="false">
      <c r="A402" s="41"/>
      <c r="B402" s="42"/>
      <c r="C402" s="42"/>
      <c r="D402" s="43"/>
      <c r="E402" s="44"/>
      <c r="F402" s="45" t="str">
        <f aca="false">IF($B402="","",N($D402)*IF(N($E402)&gt;0,$E402,IFERROR(INDEX(Costos!$I$23:$I$300,MATCH($B402,Costos!$A$23:$A$300,0)),0)))</f>
        <v/>
      </c>
      <c r="G402" s="42"/>
    </row>
    <row r="403" customFormat="false" ht="15.75" hidden="false" customHeight="true" outlineLevel="0" collapsed="false">
      <c r="A403" s="41"/>
      <c r="B403" s="42"/>
      <c r="C403" s="42"/>
      <c r="D403" s="43"/>
      <c r="E403" s="44"/>
      <c r="F403" s="45" t="str">
        <f aca="false">IF($B403="","",N($D403)*IF(N($E403)&gt;0,$E403,IFERROR(INDEX(Costos!$I$23:$I$300,MATCH($B403,Costos!$A$23:$A$300,0)),0)))</f>
        <v/>
      </c>
      <c r="G403" s="42"/>
    </row>
    <row r="404" customFormat="false" ht="15.75" hidden="false" customHeight="true" outlineLevel="0" collapsed="false">
      <c r="A404" s="41"/>
      <c r="B404" s="42"/>
      <c r="C404" s="42"/>
      <c r="D404" s="43"/>
      <c r="E404" s="44"/>
      <c r="F404" s="45" t="str">
        <f aca="false">IF($B404="","",N($D404)*IF(N($E404)&gt;0,$E404,IFERROR(INDEX(Costos!$I$23:$I$300,MATCH($B404,Costos!$A$23:$A$300,0)),0)))</f>
        <v/>
      </c>
      <c r="G404" s="42"/>
    </row>
    <row r="405" customFormat="false" ht="15.75" hidden="false" customHeight="true" outlineLevel="0" collapsed="false">
      <c r="A405" s="41"/>
      <c r="B405" s="42"/>
      <c r="C405" s="42"/>
      <c r="D405" s="43"/>
      <c r="E405" s="44"/>
      <c r="F405" s="45" t="str">
        <f aca="false">IF($B405="","",N($D405)*IF(N($E405)&gt;0,$E405,IFERROR(INDEX(Costos!$I$23:$I$300,MATCH($B405,Costos!$A$23:$A$300,0)),0)))</f>
        <v/>
      </c>
      <c r="G405" s="42"/>
    </row>
    <row r="406" customFormat="false" ht="15.75" hidden="false" customHeight="true" outlineLevel="0" collapsed="false">
      <c r="A406" s="41"/>
      <c r="B406" s="42"/>
      <c r="C406" s="42"/>
      <c r="D406" s="43"/>
      <c r="E406" s="44"/>
      <c r="F406" s="45" t="str">
        <f aca="false">IF($B406="","",N($D406)*IF(N($E406)&gt;0,$E406,IFERROR(INDEX(Costos!$I$23:$I$300,MATCH($B406,Costos!$A$23:$A$300,0)),0)))</f>
        <v/>
      </c>
      <c r="G406" s="42"/>
    </row>
    <row r="407" customFormat="false" ht="15.75" hidden="false" customHeight="true" outlineLevel="0" collapsed="false">
      <c r="A407" s="41"/>
      <c r="B407" s="42"/>
      <c r="C407" s="42"/>
      <c r="D407" s="43"/>
      <c r="E407" s="44"/>
      <c r="F407" s="45" t="str">
        <f aca="false">IF($B407="","",N($D407)*IF(N($E407)&gt;0,$E407,IFERROR(INDEX(Costos!$I$23:$I$300,MATCH($B407,Costos!$A$23:$A$300,0)),0)))</f>
        <v/>
      </c>
      <c r="G407" s="42"/>
    </row>
    <row r="408" customFormat="false" ht="15.75" hidden="false" customHeight="true" outlineLevel="0" collapsed="false">
      <c r="A408" s="41"/>
      <c r="B408" s="42"/>
      <c r="C408" s="42"/>
      <c r="D408" s="43"/>
      <c r="E408" s="44"/>
      <c r="F408" s="45" t="str">
        <f aca="false">IF($B408="","",N($D408)*IF(N($E408)&gt;0,$E408,IFERROR(INDEX(Costos!$I$23:$I$300,MATCH($B408,Costos!$A$23:$A$300,0)),0)))</f>
        <v/>
      </c>
      <c r="G408" s="42"/>
    </row>
    <row r="409" customFormat="false" ht="15.75" hidden="false" customHeight="true" outlineLevel="0" collapsed="false">
      <c r="A409" s="41"/>
      <c r="B409" s="42"/>
      <c r="C409" s="42"/>
      <c r="D409" s="43"/>
      <c r="E409" s="44"/>
      <c r="F409" s="45" t="str">
        <f aca="false">IF($B409="","",N($D409)*IF(N($E409)&gt;0,$E409,IFERROR(INDEX(Costos!$I$23:$I$300,MATCH($B409,Costos!$A$23:$A$300,0)),0)))</f>
        <v/>
      </c>
      <c r="G409" s="42"/>
    </row>
    <row r="410" customFormat="false" ht="15.75" hidden="false" customHeight="true" outlineLevel="0" collapsed="false">
      <c r="A410" s="41"/>
      <c r="B410" s="42"/>
      <c r="C410" s="42"/>
      <c r="D410" s="43"/>
      <c r="E410" s="44"/>
      <c r="F410" s="45" t="str">
        <f aca="false">IF($B410="","",N($D410)*IF(N($E410)&gt;0,$E410,IFERROR(INDEX(Costos!$I$23:$I$300,MATCH($B410,Costos!$A$23:$A$300,0)),0)))</f>
        <v/>
      </c>
      <c r="G410" s="42"/>
    </row>
    <row r="411" customFormat="false" ht="15.75" hidden="false" customHeight="true" outlineLevel="0" collapsed="false">
      <c r="A411" s="41"/>
      <c r="B411" s="42"/>
      <c r="C411" s="42"/>
      <c r="D411" s="43"/>
      <c r="E411" s="44"/>
      <c r="F411" s="45" t="str">
        <f aca="false">IF($B411="","",N($D411)*IF(N($E411)&gt;0,$E411,IFERROR(INDEX(Costos!$I$23:$I$300,MATCH($B411,Costos!$A$23:$A$300,0)),0)))</f>
        <v/>
      </c>
      <c r="G411" s="42"/>
    </row>
    <row r="412" customFormat="false" ht="15.75" hidden="false" customHeight="true" outlineLevel="0" collapsed="false">
      <c r="A412" s="41"/>
      <c r="B412" s="42"/>
      <c r="C412" s="42"/>
      <c r="D412" s="43"/>
      <c r="E412" s="44"/>
      <c r="F412" s="45" t="str">
        <f aca="false">IF($B412="","",N($D412)*IF(N($E412)&gt;0,$E412,IFERROR(INDEX(Costos!$I$23:$I$300,MATCH($B412,Costos!$A$23:$A$300,0)),0)))</f>
        <v/>
      </c>
      <c r="G412" s="42"/>
    </row>
    <row r="413" customFormat="false" ht="15.75" hidden="false" customHeight="true" outlineLevel="0" collapsed="false">
      <c r="A413" s="41"/>
      <c r="B413" s="42"/>
      <c r="C413" s="42"/>
      <c r="D413" s="43"/>
      <c r="E413" s="44"/>
      <c r="F413" s="45" t="str">
        <f aca="false">IF($B413="","",N($D413)*IF(N($E413)&gt;0,$E413,IFERROR(INDEX(Costos!$I$23:$I$300,MATCH($B413,Costos!$A$23:$A$300,0)),0)))</f>
        <v/>
      </c>
      <c r="G413" s="42"/>
    </row>
    <row r="414" customFormat="false" ht="15.75" hidden="false" customHeight="true" outlineLevel="0" collapsed="false">
      <c r="A414" s="41"/>
      <c r="B414" s="42"/>
      <c r="C414" s="42"/>
      <c r="D414" s="43"/>
      <c r="E414" s="44"/>
      <c r="F414" s="45" t="str">
        <f aca="false">IF($B414="","",N($D414)*IF(N($E414)&gt;0,$E414,IFERROR(INDEX(Costos!$I$23:$I$300,MATCH($B414,Costos!$A$23:$A$300,0)),0)))</f>
        <v/>
      </c>
      <c r="G414" s="42"/>
    </row>
    <row r="415" customFormat="false" ht="15.75" hidden="false" customHeight="true" outlineLevel="0" collapsed="false">
      <c r="A415" s="41"/>
      <c r="B415" s="42"/>
      <c r="C415" s="42"/>
      <c r="D415" s="43"/>
      <c r="E415" s="44"/>
      <c r="F415" s="45" t="str">
        <f aca="false">IF($B415="","",N($D415)*IF(N($E415)&gt;0,$E415,IFERROR(INDEX(Costos!$I$23:$I$300,MATCH($B415,Costos!$A$23:$A$300,0)),0)))</f>
        <v/>
      </c>
      <c r="G415" s="42"/>
    </row>
    <row r="416" customFormat="false" ht="15.75" hidden="false" customHeight="true" outlineLevel="0" collapsed="false">
      <c r="A416" s="41"/>
      <c r="B416" s="42"/>
      <c r="C416" s="42"/>
      <c r="D416" s="43"/>
      <c r="E416" s="44"/>
      <c r="F416" s="45" t="str">
        <f aca="false">IF($B416="","",N($D416)*IF(N($E416)&gt;0,$E416,IFERROR(INDEX(Costos!$I$23:$I$300,MATCH($B416,Costos!$A$23:$A$300,0)),0)))</f>
        <v/>
      </c>
      <c r="G416" s="42"/>
    </row>
    <row r="417" customFormat="false" ht="15.75" hidden="false" customHeight="true" outlineLevel="0" collapsed="false">
      <c r="A417" s="41"/>
      <c r="B417" s="42"/>
      <c r="C417" s="42"/>
      <c r="D417" s="43"/>
      <c r="E417" s="44"/>
      <c r="F417" s="45" t="str">
        <f aca="false">IF($B417="","",N($D417)*IF(N($E417)&gt;0,$E417,IFERROR(INDEX(Costos!$I$23:$I$300,MATCH($B417,Costos!$A$23:$A$300,0)),0)))</f>
        <v/>
      </c>
      <c r="G417" s="42"/>
    </row>
    <row r="418" customFormat="false" ht="15.75" hidden="false" customHeight="true" outlineLevel="0" collapsed="false">
      <c r="A418" s="41"/>
      <c r="B418" s="42"/>
      <c r="C418" s="42"/>
      <c r="D418" s="43"/>
      <c r="E418" s="44"/>
      <c r="F418" s="45" t="str">
        <f aca="false">IF($B418="","",N($D418)*IF(N($E418)&gt;0,$E418,IFERROR(INDEX(Costos!$I$23:$I$300,MATCH($B418,Costos!$A$23:$A$300,0)),0)))</f>
        <v/>
      </c>
      <c r="G418" s="42"/>
    </row>
    <row r="419" customFormat="false" ht="15.75" hidden="false" customHeight="true" outlineLevel="0" collapsed="false">
      <c r="A419" s="41"/>
      <c r="B419" s="42"/>
      <c r="C419" s="42"/>
      <c r="D419" s="43"/>
      <c r="E419" s="44"/>
      <c r="F419" s="45" t="str">
        <f aca="false">IF($B419="","",N($D419)*IF(N($E419)&gt;0,$E419,IFERROR(INDEX(Costos!$I$23:$I$300,MATCH($B419,Costos!$A$23:$A$300,0)),0)))</f>
        <v/>
      </c>
      <c r="G419" s="42"/>
    </row>
    <row r="420" customFormat="false" ht="15.75" hidden="false" customHeight="true" outlineLevel="0" collapsed="false">
      <c r="A420" s="41"/>
      <c r="B420" s="42"/>
      <c r="C420" s="42"/>
      <c r="D420" s="43"/>
      <c r="E420" s="44"/>
      <c r="F420" s="45" t="str">
        <f aca="false">IF($B420="","",N($D420)*IF(N($E420)&gt;0,$E420,IFERROR(INDEX(Costos!$I$23:$I$300,MATCH($B420,Costos!$A$23:$A$300,0)),0)))</f>
        <v/>
      </c>
      <c r="G420" s="42"/>
    </row>
    <row r="421" customFormat="false" ht="15.75" hidden="false" customHeight="true" outlineLevel="0" collapsed="false">
      <c r="A421" s="41"/>
      <c r="B421" s="42"/>
      <c r="C421" s="42"/>
      <c r="D421" s="43"/>
      <c r="E421" s="44"/>
      <c r="F421" s="45" t="str">
        <f aca="false">IF($B421="","",N($D421)*IF(N($E421)&gt;0,$E421,IFERROR(INDEX(Costos!$I$23:$I$300,MATCH($B421,Costos!$A$23:$A$300,0)),0)))</f>
        <v/>
      </c>
      <c r="G421" s="42"/>
    </row>
    <row r="422" customFormat="false" ht="15.75" hidden="false" customHeight="true" outlineLevel="0" collapsed="false">
      <c r="A422" s="41"/>
      <c r="B422" s="42"/>
      <c r="C422" s="42"/>
      <c r="D422" s="43"/>
      <c r="E422" s="44"/>
      <c r="F422" s="45" t="str">
        <f aca="false">IF($B422="","",N($D422)*IF(N($E422)&gt;0,$E422,IFERROR(INDEX(Costos!$I$23:$I$300,MATCH($B422,Costos!$A$23:$A$300,0)),0)))</f>
        <v/>
      </c>
      <c r="G422" s="42"/>
    </row>
    <row r="423" customFormat="false" ht="15.75" hidden="false" customHeight="true" outlineLevel="0" collapsed="false">
      <c r="A423" s="41"/>
      <c r="B423" s="42"/>
      <c r="C423" s="42"/>
      <c r="D423" s="43"/>
      <c r="E423" s="44"/>
      <c r="F423" s="45" t="str">
        <f aca="false">IF($B423="","",N($D423)*IF(N($E423)&gt;0,$E423,IFERROR(INDEX(Costos!$I$23:$I$300,MATCH($B423,Costos!$A$23:$A$300,0)),0)))</f>
        <v/>
      </c>
      <c r="G423" s="42"/>
    </row>
    <row r="424" customFormat="false" ht="15.75" hidden="false" customHeight="true" outlineLevel="0" collapsed="false">
      <c r="A424" s="41"/>
      <c r="B424" s="42"/>
      <c r="C424" s="42"/>
      <c r="D424" s="43"/>
      <c r="E424" s="44"/>
      <c r="F424" s="45" t="str">
        <f aca="false">IF($B424="","",N($D424)*IF(N($E424)&gt;0,$E424,IFERROR(INDEX(Costos!$I$23:$I$300,MATCH($B424,Costos!$A$23:$A$300,0)),0)))</f>
        <v/>
      </c>
      <c r="G424" s="42"/>
    </row>
    <row r="425" customFormat="false" ht="15.75" hidden="false" customHeight="true" outlineLevel="0" collapsed="false">
      <c r="A425" s="41"/>
      <c r="B425" s="42"/>
      <c r="C425" s="42"/>
      <c r="D425" s="43"/>
      <c r="E425" s="44"/>
      <c r="F425" s="45" t="str">
        <f aca="false">IF($B425="","",N($D425)*IF(N($E425)&gt;0,$E425,IFERROR(INDEX(Costos!$I$23:$I$300,MATCH($B425,Costos!$A$23:$A$300,0)),0)))</f>
        <v/>
      </c>
      <c r="G425" s="42"/>
    </row>
    <row r="426" customFormat="false" ht="15.75" hidden="false" customHeight="true" outlineLevel="0" collapsed="false">
      <c r="A426" s="41"/>
      <c r="B426" s="42"/>
      <c r="C426" s="42"/>
      <c r="D426" s="43"/>
      <c r="E426" s="44"/>
      <c r="F426" s="45" t="str">
        <f aca="false">IF($B426="","",N($D426)*IF(N($E426)&gt;0,$E426,IFERROR(INDEX(Costos!$I$23:$I$300,MATCH($B426,Costos!$A$23:$A$300,0)),0)))</f>
        <v/>
      </c>
      <c r="G426" s="42"/>
    </row>
    <row r="427" customFormat="false" ht="15.75" hidden="false" customHeight="true" outlineLevel="0" collapsed="false">
      <c r="A427" s="41"/>
      <c r="B427" s="42"/>
      <c r="C427" s="42"/>
      <c r="D427" s="43"/>
      <c r="E427" s="44"/>
      <c r="F427" s="45" t="str">
        <f aca="false">IF($B427="","",N($D427)*IF(N($E427)&gt;0,$E427,IFERROR(INDEX(Costos!$I$23:$I$300,MATCH($B427,Costos!$A$23:$A$300,0)),0)))</f>
        <v/>
      </c>
      <c r="G427" s="42"/>
    </row>
    <row r="428" customFormat="false" ht="15.75" hidden="false" customHeight="true" outlineLevel="0" collapsed="false">
      <c r="A428" s="41"/>
      <c r="B428" s="42"/>
      <c r="C428" s="42"/>
      <c r="D428" s="43"/>
      <c r="E428" s="44"/>
      <c r="F428" s="45" t="str">
        <f aca="false">IF($B428="","",N($D428)*IF(N($E428)&gt;0,$E428,IFERROR(INDEX(Costos!$I$23:$I$300,MATCH($B428,Costos!$A$23:$A$300,0)),0)))</f>
        <v/>
      </c>
      <c r="G428" s="42"/>
    </row>
    <row r="429" customFormat="false" ht="15.75" hidden="false" customHeight="true" outlineLevel="0" collapsed="false">
      <c r="A429" s="41"/>
      <c r="B429" s="42"/>
      <c r="C429" s="42"/>
      <c r="D429" s="43"/>
      <c r="E429" s="44"/>
      <c r="F429" s="45" t="str">
        <f aca="false">IF($B429="","",N($D429)*IF(N($E429)&gt;0,$E429,IFERROR(INDEX(Costos!$I$23:$I$300,MATCH($B429,Costos!$A$23:$A$300,0)),0)))</f>
        <v/>
      </c>
      <c r="G429" s="42"/>
    </row>
    <row r="430" customFormat="false" ht="15.75" hidden="false" customHeight="true" outlineLevel="0" collapsed="false">
      <c r="A430" s="41"/>
      <c r="B430" s="42"/>
      <c r="C430" s="42"/>
      <c r="D430" s="43"/>
      <c r="E430" s="44"/>
      <c r="F430" s="45" t="str">
        <f aca="false">IF($B430="","",N($D430)*IF(N($E430)&gt;0,$E430,IFERROR(INDEX(Costos!$I$23:$I$300,MATCH($B430,Costos!$A$23:$A$300,0)),0)))</f>
        <v/>
      </c>
      <c r="G430" s="42"/>
    </row>
    <row r="431" customFormat="false" ht="15.75" hidden="false" customHeight="true" outlineLevel="0" collapsed="false">
      <c r="A431" s="41"/>
      <c r="B431" s="42"/>
      <c r="C431" s="42"/>
      <c r="D431" s="43"/>
      <c r="E431" s="44"/>
      <c r="F431" s="45" t="str">
        <f aca="false">IF($B431="","",N($D431)*IF(N($E431)&gt;0,$E431,IFERROR(INDEX(Costos!$I$23:$I$300,MATCH($B431,Costos!$A$23:$A$300,0)),0)))</f>
        <v/>
      </c>
      <c r="G431" s="42"/>
    </row>
    <row r="432" customFormat="false" ht="15.75" hidden="false" customHeight="true" outlineLevel="0" collapsed="false">
      <c r="A432" s="41"/>
      <c r="B432" s="42"/>
      <c r="C432" s="42"/>
      <c r="D432" s="43"/>
      <c r="E432" s="44"/>
      <c r="F432" s="45" t="str">
        <f aca="false">IF($B432="","",N($D432)*IF(N($E432)&gt;0,$E432,IFERROR(INDEX(Costos!$I$23:$I$300,MATCH($B432,Costos!$A$23:$A$300,0)),0)))</f>
        <v/>
      </c>
      <c r="G432" s="42"/>
    </row>
    <row r="433" customFormat="false" ht="15.75" hidden="false" customHeight="true" outlineLevel="0" collapsed="false">
      <c r="A433" s="41"/>
      <c r="B433" s="42"/>
      <c r="C433" s="42"/>
      <c r="D433" s="43"/>
      <c r="E433" s="44"/>
      <c r="F433" s="45" t="str">
        <f aca="false">IF($B433="","",N($D433)*IF(N($E433)&gt;0,$E433,IFERROR(INDEX(Costos!$I$23:$I$300,MATCH($B433,Costos!$A$23:$A$300,0)),0)))</f>
        <v/>
      </c>
      <c r="G433" s="42"/>
    </row>
    <row r="434" customFormat="false" ht="15.75" hidden="false" customHeight="true" outlineLevel="0" collapsed="false">
      <c r="A434" s="41"/>
      <c r="B434" s="42"/>
      <c r="C434" s="42"/>
      <c r="D434" s="43"/>
      <c r="E434" s="44"/>
      <c r="F434" s="45" t="str">
        <f aca="false">IF($B434="","",N($D434)*IF(N($E434)&gt;0,$E434,IFERROR(INDEX(Costos!$I$23:$I$300,MATCH($B434,Costos!$A$23:$A$300,0)),0)))</f>
        <v/>
      </c>
      <c r="G434" s="42"/>
    </row>
    <row r="435" customFormat="false" ht="15.75" hidden="false" customHeight="true" outlineLevel="0" collapsed="false">
      <c r="A435" s="41"/>
      <c r="B435" s="42"/>
      <c r="C435" s="42"/>
      <c r="D435" s="43"/>
      <c r="E435" s="44"/>
      <c r="F435" s="45" t="str">
        <f aca="false">IF($B435="","",N($D435)*IF(N($E435)&gt;0,$E435,IFERROR(INDEX(Costos!$I$23:$I$300,MATCH($B435,Costos!$A$23:$A$300,0)),0)))</f>
        <v/>
      </c>
      <c r="G435" s="42"/>
    </row>
    <row r="436" customFormat="false" ht="15.75" hidden="false" customHeight="true" outlineLevel="0" collapsed="false">
      <c r="A436" s="41"/>
      <c r="B436" s="42"/>
      <c r="C436" s="42"/>
      <c r="D436" s="43"/>
      <c r="E436" s="44"/>
      <c r="F436" s="45" t="str">
        <f aca="false">IF($B436="","",N($D436)*IF(N($E436)&gt;0,$E436,IFERROR(INDEX(Costos!$I$23:$I$300,MATCH($B436,Costos!$A$23:$A$300,0)),0)))</f>
        <v/>
      </c>
      <c r="G436" s="42"/>
    </row>
    <row r="437" customFormat="false" ht="15.75" hidden="false" customHeight="true" outlineLevel="0" collapsed="false">
      <c r="A437" s="41"/>
      <c r="B437" s="42"/>
      <c r="C437" s="42"/>
      <c r="D437" s="43"/>
      <c r="E437" s="44"/>
      <c r="F437" s="45" t="str">
        <f aca="false">IF($B437="","",N($D437)*IF(N($E437)&gt;0,$E437,IFERROR(INDEX(Costos!$I$23:$I$300,MATCH($B437,Costos!$A$23:$A$300,0)),0)))</f>
        <v/>
      </c>
      <c r="G437" s="42"/>
    </row>
    <row r="438" customFormat="false" ht="15.75" hidden="false" customHeight="true" outlineLevel="0" collapsed="false">
      <c r="A438" s="41"/>
      <c r="B438" s="42"/>
      <c r="C438" s="42"/>
      <c r="D438" s="43"/>
      <c r="E438" s="44"/>
      <c r="F438" s="45" t="str">
        <f aca="false">IF($B438="","",N($D438)*IF(N($E438)&gt;0,$E438,IFERROR(INDEX(Costos!$I$23:$I$300,MATCH($B438,Costos!$A$23:$A$300,0)),0)))</f>
        <v/>
      </c>
      <c r="G438" s="42"/>
    </row>
    <row r="439" customFormat="false" ht="15.75" hidden="false" customHeight="true" outlineLevel="0" collapsed="false">
      <c r="A439" s="41"/>
      <c r="B439" s="42"/>
      <c r="C439" s="42"/>
      <c r="D439" s="43"/>
      <c r="E439" s="44"/>
      <c r="F439" s="45" t="str">
        <f aca="false">IF($B439="","",N($D439)*IF(N($E439)&gt;0,$E439,IFERROR(INDEX(Costos!$I$23:$I$300,MATCH($B439,Costos!$A$23:$A$300,0)),0)))</f>
        <v/>
      </c>
      <c r="G439" s="42"/>
    </row>
    <row r="440" customFormat="false" ht="15.75" hidden="false" customHeight="true" outlineLevel="0" collapsed="false">
      <c r="A440" s="41"/>
      <c r="B440" s="42"/>
      <c r="C440" s="42"/>
      <c r="D440" s="43"/>
      <c r="E440" s="44"/>
      <c r="F440" s="45" t="str">
        <f aca="false">IF($B440="","",N($D440)*IF(N($E440)&gt;0,$E440,IFERROR(INDEX(Costos!$I$23:$I$300,MATCH($B440,Costos!$A$23:$A$300,0)),0)))</f>
        <v/>
      </c>
      <c r="G440" s="42"/>
    </row>
    <row r="441" customFormat="false" ht="15.75" hidden="false" customHeight="true" outlineLevel="0" collapsed="false">
      <c r="A441" s="41"/>
      <c r="B441" s="42"/>
      <c r="C441" s="42"/>
      <c r="D441" s="43"/>
      <c r="E441" s="44"/>
      <c r="F441" s="45" t="str">
        <f aca="false">IF($B441="","",N($D441)*IF(N($E441)&gt;0,$E441,IFERROR(INDEX(Costos!$I$23:$I$300,MATCH($B441,Costos!$A$23:$A$300,0)),0)))</f>
        <v/>
      </c>
      <c r="G441" s="42"/>
    </row>
    <row r="442" customFormat="false" ht="15.75" hidden="false" customHeight="true" outlineLevel="0" collapsed="false">
      <c r="A442" s="41"/>
      <c r="B442" s="42"/>
      <c r="C442" s="42"/>
      <c r="D442" s="43"/>
      <c r="E442" s="44"/>
      <c r="F442" s="45" t="str">
        <f aca="false">IF($B442="","",N($D442)*IF(N($E442)&gt;0,$E442,IFERROR(INDEX(Costos!$I$23:$I$300,MATCH($B442,Costos!$A$23:$A$300,0)),0)))</f>
        <v/>
      </c>
      <c r="G442" s="42"/>
    </row>
    <row r="443" customFormat="false" ht="15.75" hidden="false" customHeight="true" outlineLevel="0" collapsed="false">
      <c r="A443" s="41"/>
      <c r="B443" s="42"/>
      <c r="C443" s="42"/>
      <c r="D443" s="43"/>
      <c r="E443" s="44"/>
      <c r="F443" s="45" t="str">
        <f aca="false">IF($B443="","",N($D443)*IF(N($E443)&gt;0,$E443,IFERROR(INDEX(Costos!$I$23:$I$300,MATCH($B443,Costos!$A$23:$A$300,0)),0)))</f>
        <v/>
      </c>
      <c r="G443" s="42"/>
    </row>
    <row r="444" customFormat="false" ht="15.75" hidden="false" customHeight="true" outlineLevel="0" collapsed="false">
      <c r="A444" s="41"/>
      <c r="B444" s="42"/>
      <c r="C444" s="42"/>
      <c r="D444" s="43"/>
      <c r="E444" s="44"/>
      <c r="F444" s="45" t="str">
        <f aca="false">IF($B444="","",N($D444)*IF(N($E444)&gt;0,$E444,IFERROR(INDEX(Costos!$I$23:$I$300,MATCH($B444,Costos!$A$23:$A$300,0)),0)))</f>
        <v/>
      </c>
      <c r="G444" s="42"/>
    </row>
    <row r="445" customFormat="false" ht="15.75" hidden="false" customHeight="true" outlineLevel="0" collapsed="false">
      <c r="A445" s="41"/>
      <c r="B445" s="42"/>
      <c r="C445" s="42"/>
      <c r="D445" s="43"/>
      <c r="E445" s="44"/>
      <c r="F445" s="45" t="str">
        <f aca="false">IF($B445="","",N($D445)*IF(N($E445)&gt;0,$E445,IFERROR(INDEX(Costos!$I$23:$I$300,MATCH($B445,Costos!$A$23:$A$300,0)),0)))</f>
        <v/>
      </c>
      <c r="G445" s="42"/>
    </row>
    <row r="446" customFormat="false" ht="15.75" hidden="false" customHeight="true" outlineLevel="0" collapsed="false">
      <c r="A446" s="41"/>
      <c r="B446" s="42"/>
      <c r="C446" s="42"/>
      <c r="D446" s="43"/>
      <c r="E446" s="44"/>
      <c r="F446" s="45" t="str">
        <f aca="false">IF($B446="","",N($D446)*IF(N($E446)&gt;0,$E446,IFERROR(INDEX(Costos!$I$23:$I$300,MATCH($B446,Costos!$A$23:$A$300,0)),0)))</f>
        <v/>
      </c>
      <c r="G446" s="42"/>
    </row>
    <row r="447" customFormat="false" ht="15.75" hidden="false" customHeight="true" outlineLevel="0" collapsed="false">
      <c r="A447" s="41"/>
      <c r="B447" s="42"/>
      <c r="C447" s="42"/>
      <c r="D447" s="43"/>
      <c r="E447" s="44"/>
      <c r="F447" s="45" t="str">
        <f aca="false">IF($B447="","",N($D447)*IF(N($E447)&gt;0,$E447,IFERROR(INDEX(Costos!$I$23:$I$300,MATCH($B447,Costos!$A$23:$A$300,0)),0)))</f>
        <v/>
      </c>
      <c r="G447" s="42"/>
    </row>
    <row r="448" customFormat="false" ht="15.75" hidden="false" customHeight="true" outlineLevel="0" collapsed="false">
      <c r="A448" s="41"/>
      <c r="B448" s="42"/>
      <c r="C448" s="42"/>
      <c r="D448" s="43"/>
      <c r="E448" s="44"/>
      <c r="F448" s="45" t="str">
        <f aca="false">IF($B448="","",N($D448)*IF(N($E448)&gt;0,$E448,IFERROR(INDEX(Costos!$I$23:$I$300,MATCH($B448,Costos!$A$23:$A$300,0)),0)))</f>
        <v/>
      </c>
      <c r="G448" s="42"/>
    </row>
    <row r="449" customFormat="false" ht="15.75" hidden="false" customHeight="true" outlineLevel="0" collapsed="false">
      <c r="A449" s="41"/>
      <c r="B449" s="42"/>
      <c r="C449" s="42"/>
      <c r="D449" s="43"/>
      <c r="E449" s="44"/>
      <c r="F449" s="45" t="str">
        <f aca="false">IF($B449="","",N($D449)*IF(N($E449)&gt;0,$E449,IFERROR(INDEX(Costos!$I$23:$I$300,MATCH($B449,Costos!$A$23:$A$300,0)),0)))</f>
        <v/>
      </c>
      <c r="G449" s="42"/>
    </row>
    <row r="450" customFormat="false" ht="15.75" hidden="false" customHeight="true" outlineLevel="0" collapsed="false">
      <c r="A450" s="41"/>
      <c r="B450" s="42"/>
      <c r="C450" s="42"/>
      <c r="D450" s="43"/>
      <c r="E450" s="44"/>
      <c r="F450" s="45" t="str">
        <f aca="false">IF($B450="","",N($D450)*IF(N($E450)&gt;0,$E450,IFERROR(INDEX(Costos!$I$23:$I$300,MATCH($B450,Costos!$A$23:$A$300,0)),0)))</f>
        <v/>
      </c>
      <c r="G450" s="42"/>
    </row>
    <row r="451" customFormat="false" ht="15.75" hidden="false" customHeight="true" outlineLevel="0" collapsed="false">
      <c r="A451" s="41"/>
      <c r="B451" s="42"/>
      <c r="C451" s="42"/>
      <c r="D451" s="43"/>
      <c r="E451" s="44"/>
      <c r="F451" s="45" t="str">
        <f aca="false">IF($B451="","",N($D451)*IF(N($E451)&gt;0,$E451,IFERROR(INDEX(Costos!$I$23:$I$300,MATCH($B451,Costos!$A$23:$A$300,0)),0)))</f>
        <v/>
      </c>
      <c r="G451" s="42"/>
    </row>
    <row r="452" customFormat="false" ht="15.75" hidden="false" customHeight="true" outlineLevel="0" collapsed="false">
      <c r="A452" s="41"/>
      <c r="B452" s="42"/>
      <c r="C452" s="42"/>
      <c r="D452" s="43"/>
      <c r="E452" s="44"/>
      <c r="F452" s="45" t="str">
        <f aca="false">IF($B452="","",N($D452)*IF(N($E452)&gt;0,$E452,IFERROR(INDEX(Costos!$I$23:$I$300,MATCH($B452,Costos!$A$23:$A$300,0)),0)))</f>
        <v/>
      </c>
      <c r="G452" s="42"/>
    </row>
    <row r="453" customFormat="false" ht="15.75" hidden="false" customHeight="true" outlineLevel="0" collapsed="false">
      <c r="A453" s="41"/>
      <c r="B453" s="42"/>
      <c r="C453" s="42"/>
      <c r="D453" s="43"/>
      <c r="E453" s="44"/>
      <c r="F453" s="45" t="str">
        <f aca="false">IF($B453="","",N($D453)*IF(N($E453)&gt;0,$E453,IFERROR(INDEX(Costos!$I$23:$I$300,MATCH($B453,Costos!$A$23:$A$300,0)),0)))</f>
        <v/>
      </c>
      <c r="G453" s="42"/>
    </row>
    <row r="454" customFormat="false" ht="15.75" hidden="false" customHeight="true" outlineLevel="0" collapsed="false">
      <c r="A454" s="41"/>
      <c r="B454" s="42"/>
      <c r="C454" s="42"/>
      <c r="D454" s="43"/>
      <c r="E454" s="44"/>
      <c r="F454" s="45" t="str">
        <f aca="false">IF($B454="","",N($D454)*IF(N($E454)&gt;0,$E454,IFERROR(INDEX(Costos!$I$23:$I$300,MATCH($B454,Costos!$A$23:$A$300,0)),0)))</f>
        <v/>
      </c>
      <c r="G454" s="42"/>
    </row>
    <row r="455" customFormat="false" ht="15.75" hidden="false" customHeight="true" outlineLevel="0" collapsed="false">
      <c r="A455" s="41"/>
      <c r="B455" s="42"/>
      <c r="C455" s="42"/>
      <c r="D455" s="43"/>
      <c r="E455" s="44"/>
      <c r="F455" s="45" t="str">
        <f aca="false">IF($B455="","",N($D455)*IF(N($E455)&gt;0,$E455,IFERROR(INDEX(Costos!$I$23:$I$300,MATCH($B455,Costos!$A$23:$A$300,0)),0)))</f>
        <v/>
      </c>
      <c r="G455" s="42"/>
    </row>
    <row r="456" customFormat="false" ht="15.75" hidden="false" customHeight="true" outlineLevel="0" collapsed="false">
      <c r="A456" s="41"/>
      <c r="B456" s="42"/>
      <c r="C456" s="42"/>
      <c r="D456" s="43"/>
      <c r="E456" s="44"/>
      <c r="F456" s="45" t="str">
        <f aca="false">IF($B456="","",N($D456)*IF(N($E456)&gt;0,$E456,IFERROR(INDEX(Costos!$I$23:$I$300,MATCH($B456,Costos!$A$23:$A$300,0)),0)))</f>
        <v/>
      </c>
      <c r="G456" s="42"/>
    </row>
    <row r="457" customFormat="false" ht="15.75" hidden="false" customHeight="true" outlineLevel="0" collapsed="false">
      <c r="A457" s="41"/>
      <c r="B457" s="42"/>
      <c r="C457" s="42"/>
      <c r="D457" s="43"/>
      <c r="E457" s="44"/>
      <c r="F457" s="45" t="str">
        <f aca="false">IF($B457="","",N($D457)*IF(N($E457)&gt;0,$E457,IFERROR(INDEX(Costos!$I$23:$I$300,MATCH($B457,Costos!$A$23:$A$300,0)),0)))</f>
        <v/>
      </c>
      <c r="G457" s="42"/>
    </row>
    <row r="458" customFormat="false" ht="15.75" hidden="false" customHeight="true" outlineLevel="0" collapsed="false">
      <c r="A458" s="41"/>
      <c r="B458" s="42"/>
      <c r="C458" s="42"/>
      <c r="D458" s="43"/>
      <c r="E458" s="44"/>
      <c r="F458" s="45" t="str">
        <f aca="false">IF($B458="","",N($D458)*IF(N($E458)&gt;0,$E458,IFERROR(INDEX(Costos!$I$23:$I$300,MATCH($B458,Costos!$A$23:$A$300,0)),0)))</f>
        <v/>
      </c>
      <c r="G458" s="42"/>
    </row>
    <row r="459" customFormat="false" ht="15.75" hidden="false" customHeight="true" outlineLevel="0" collapsed="false">
      <c r="A459" s="41"/>
      <c r="B459" s="42"/>
      <c r="C459" s="42"/>
      <c r="D459" s="43"/>
      <c r="E459" s="44"/>
      <c r="F459" s="45" t="str">
        <f aca="false">IF($B459="","",N($D459)*IF(N($E459)&gt;0,$E459,IFERROR(INDEX(Costos!$I$23:$I$300,MATCH($B459,Costos!$A$23:$A$300,0)),0)))</f>
        <v/>
      </c>
      <c r="G459" s="42"/>
    </row>
    <row r="460" customFormat="false" ht="15.75" hidden="false" customHeight="true" outlineLevel="0" collapsed="false">
      <c r="A460" s="41"/>
      <c r="B460" s="42"/>
      <c r="C460" s="42"/>
      <c r="D460" s="43"/>
      <c r="E460" s="44"/>
      <c r="F460" s="45" t="str">
        <f aca="false">IF($B460="","",N($D460)*IF(N($E460)&gt;0,$E460,IFERROR(INDEX(Costos!$I$23:$I$300,MATCH($B460,Costos!$A$23:$A$300,0)),0)))</f>
        <v/>
      </c>
      <c r="G460" s="42"/>
    </row>
    <row r="461" customFormat="false" ht="15.75" hidden="false" customHeight="true" outlineLevel="0" collapsed="false">
      <c r="A461" s="41"/>
      <c r="B461" s="42"/>
      <c r="C461" s="42"/>
      <c r="D461" s="43"/>
      <c r="E461" s="44"/>
      <c r="F461" s="45" t="str">
        <f aca="false">IF($B461="","",N($D461)*IF(N($E461)&gt;0,$E461,IFERROR(INDEX(Costos!$I$23:$I$300,MATCH($B461,Costos!$A$23:$A$300,0)),0)))</f>
        <v/>
      </c>
      <c r="G461" s="42"/>
    </row>
    <row r="462" customFormat="false" ht="15.75" hidden="false" customHeight="true" outlineLevel="0" collapsed="false">
      <c r="A462" s="41"/>
      <c r="B462" s="42"/>
      <c r="C462" s="42"/>
      <c r="D462" s="43"/>
      <c r="E462" s="44"/>
      <c r="F462" s="45" t="str">
        <f aca="false">IF($B462="","",N($D462)*IF(N($E462)&gt;0,$E462,IFERROR(INDEX(Costos!$I$23:$I$300,MATCH($B462,Costos!$A$23:$A$300,0)),0)))</f>
        <v/>
      </c>
      <c r="G462" s="42"/>
    </row>
    <row r="463" customFormat="false" ht="15.75" hidden="false" customHeight="true" outlineLevel="0" collapsed="false">
      <c r="A463" s="41"/>
      <c r="B463" s="42"/>
      <c r="C463" s="42"/>
      <c r="D463" s="43"/>
      <c r="E463" s="44"/>
      <c r="F463" s="45" t="str">
        <f aca="false">IF($B463="","",N($D463)*IF(N($E463)&gt;0,$E463,IFERROR(INDEX(Costos!$I$23:$I$300,MATCH($B463,Costos!$A$23:$A$300,0)),0)))</f>
        <v/>
      </c>
      <c r="G463" s="42"/>
    </row>
    <row r="464" customFormat="false" ht="15.75" hidden="false" customHeight="true" outlineLevel="0" collapsed="false">
      <c r="A464" s="41"/>
      <c r="B464" s="42"/>
      <c r="C464" s="42"/>
      <c r="D464" s="43"/>
      <c r="E464" s="44"/>
      <c r="F464" s="45" t="str">
        <f aca="false">IF($B464="","",N($D464)*IF(N($E464)&gt;0,$E464,IFERROR(INDEX(Costos!$I$23:$I$300,MATCH($B464,Costos!$A$23:$A$300,0)),0)))</f>
        <v/>
      </c>
      <c r="G464" s="42"/>
    </row>
    <row r="465" customFormat="false" ht="15.75" hidden="false" customHeight="true" outlineLevel="0" collapsed="false">
      <c r="A465" s="41"/>
      <c r="B465" s="42"/>
      <c r="C465" s="42"/>
      <c r="D465" s="43"/>
      <c r="E465" s="44"/>
      <c r="F465" s="45" t="str">
        <f aca="false">IF($B465="","",N($D465)*IF(N($E465)&gt;0,$E465,IFERROR(INDEX(Costos!$I$23:$I$300,MATCH($B465,Costos!$A$23:$A$300,0)),0)))</f>
        <v/>
      </c>
      <c r="G465" s="42"/>
    </row>
    <row r="466" customFormat="false" ht="15.75" hidden="false" customHeight="true" outlineLevel="0" collapsed="false">
      <c r="A466" s="41"/>
      <c r="B466" s="42"/>
      <c r="C466" s="42"/>
      <c r="D466" s="43"/>
      <c r="E466" s="44"/>
      <c r="F466" s="45" t="str">
        <f aca="false">IF($B466="","",N($D466)*IF(N($E466)&gt;0,$E466,IFERROR(INDEX(Costos!$I$23:$I$300,MATCH($B466,Costos!$A$23:$A$300,0)),0)))</f>
        <v/>
      </c>
      <c r="G466" s="42"/>
    </row>
    <row r="467" customFormat="false" ht="15.75" hidden="false" customHeight="true" outlineLevel="0" collapsed="false">
      <c r="A467" s="41"/>
      <c r="B467" s="42"/>
      <c r="C467" s="42"/>
      <c r="D467" s="43"/>
      <c r="E467" s="44"/>
      <c r="F467" s="45" t="str">
        <f aca="false">IF($B467="","",N($D467)*IF(N($E467)&gt;0,$E467,IFERROR(INDEX(Costos!$I$23:$I$300,MATCH($B467,Costos!$A$23:$A$300,0)),0)))</f>
        <v/>
      </c>
      <c r="G467" s="42"/>
    </row>
    <row r="468" customFormat="false" ht="15.75" hidden="false" customHeight="true" outlineLevel="0" collapsed="false">
      <c r="A468" s="41"/>
      <c r="B468" s="42"/>
      <c r="C468" s="42"/>
      <c r="D468" s="43"/>
      <c r="E468" s="44"/>
      <c r="F468" s="45" t="str">
        <f aca="false">IF($B468="","",N($D468)*IF(N($E468)&gt;0,$E468,IFERROR(INDEX(Costos!$I$23:$I$300,MATCH($B468,Costos!$A$23:$A$300,0)),0)))</f>
        <v/>
      </c>
      <c r="G468" s="42"/>
    </row>
    <row r="469" customFormat="false" ht="15.75" hidden="false" customHeight="true" outlineLevel="0" collapsed="false">
      <c r="A469" s="41"/>
      <c r="B469" s="42"/>
      <c r="C469" s="42"/>
      <c r="D469" s="43"/>
      <c r="E469" s="44"/>
      <c r="F469" s="45" t="str">
        <f aca="false">IF($B469="","",N($D469)*IF(N($E469)&gt;0,$E469,IFERROR(INDEX(Costos!$I$23:$I$300,MATCH($B469,Costos!$A$23:$A$300,0)),0)))</f>
        <v/>
      </c>
      <c r="G469" s="42"/>
    </row>
    <row r="470" customFormat="false" ht="15.75" hidden="false" customHeight="true" outlineLevel="0" collapsed="false">
      <c r="A470" s="41"/>
      <c r="B470" s="42"/>
      <c r="C470" s="42"/>
      <c r="D470" s="43"/>
      <c r="E470" s="44"/>
      <c r="F470" s="45" t="str">
        <f aca="false">IF($B470="","",N($D470)*IF(N($E470)&gt;0,$E470,IFERROR(INDEX(Costos!$I$23:$I$300,MATCH($B470,Costos!$A$23:$A$300,0)),0)))</f>
        <v/>
      </c>
      <c r="G470" s="42"/>
    </row>
    <row r="471" customFormat="false" ht="15.75" hidden="false" customHeight="true" outlineLevel="0" collapsed="false">
      <c r="A471" s="41"/>
      <c r="B471" s="42"/>
      <c r="C471" s="42"/>
      <c r="D471" s="43"/>
      <c r="E471" s="44"/>
      <c r="F471" s="45" t="str">
        <f aca="false">IF($B471="","",N($D471)*IF(N($E471)&gt;0,$E471,IFERROR(INDEX(Costos!$I$23:$I$300,MATCH($B471,Costos!$A$23:$A$300,0)),0)))</f>
        <v/>
      </c>
      <c r="G471" s="42"/>
    </row>
    <row r="472" customFormat="false" ht="15.75" hidden="false" customHeight="true" outlineLevel="0" collapsed="false">
      <c r="A472" s="41"/>
      <c r="B472" s="42"/>
      <c r="C472" s="42"/>
      <c r="D472" s="43"/>
      <c r="E472" s="44"/>
      <c r="F472" s="45" t="str">
        <f aca="false">IF($B472="","",N($D472)*IF(N($E472)&gt;0,$E472,IFERROR(INDEX(Costos!$I$23:$I$300,MATCH($B472,Costos!$A$23:$A$300,0)),0)))</f>
        <v/>
      </c>
      <c r="G472" s="42"/>
    </row>
    <row r="473" customFormat="false" ht="15.75" hidden="false" customHeight="true" outlineLevel="0" collapsed="false">
      <c r="A473" s="41"/>
      <c r="B473" s="42"/>
      <c r="C473" s="42"/>
      <c r="D473" s="43"/>
      <c r="E473" s="44"/>
      <c r="F473" s="45" t="str">
        <f aca="false">IF($B473="","",N($D473)*IF(N($E473)&gt;0,$E473,IFERROR(INDEX(Costos!$I$23:$I$300,MATCH($B473,Costos!$A$23:$A$300,0)),0)))</f>
        <v/>
      </c>
      <c r="G473" s="42"/>
    </row>
    <row r="474" customFormat="false" ht="15.75" hidden="false" customHeight="true" outlineLevel="0" collapsed="false">
      <c r="A474" s="41"/>
      <c r="B474" s="42"/>
      <c r="C474" s="42"/>
      <c r="D474" s="43"/>
      <c r="E474" s="44"/>
      <c r="F474" s="45" t="str">
        <f aca="false">IF($B474="","",N($D474)*IF(N($E474)&gt;0,$E474,IFERROR(INDEX(Costos!$I$23:$I$300,MATCH($B474,Costos!$A$23:$A$300,0)),0)))</f>
        <v/>
      </c>
      <c r="G474" s="42"/>
    </row>
    <row r="475" customFormat="false" ht="15.75" hidden="false" customHeight="true" outlineLevel="0" collapsed="false">
      <c r="A475" s="41"/>
      <c r="B475" s="42"/>
      <c r="C475" s="42"/>
      <c r="D475" s="43"/>
      <c r="E475" s="44"/>
      <c r="F475" s="45" t="str">
        <f aca="false">IF($B475="","",N($D475)*IF(N($E475)&gt;0,$E475,IFERROR(INDEX(Costos!$I$23:$I$300,MATCH($B475,Costos!$A$23:$A$300,0)),0)))</f>
        <v/>
      </c>
      <c r="G475" s="42"/>
    </row>
    <row r="476" customFormat="false" ht="15.75" hidden="false" customHeight="true" outlineLevel="0" collapsed="false">
      <c r="A476" s="41"/>
      <c r="B476" s="42"/>
      <c r="C476" s="42"/>
      <c r="D476" s="43"/>
      <c r="E476" s="44"/>
      <c r="F476" s="45" t="str">
        <f aca="false">IF($B476="","",N($D476)*IF(N($E476)&gt;0,$E476,IFERROR(INDEX(Costos!$I$23:$I$300,MATCH($B476,Costos!$A$23:$A$300,0)),0)))</f>
        <v/>
      </c>
      <c r="G476" s="42"/>
    </row>
    <row r="477" customFormat="false" ht="15.75" hidden="false" customHeight="true" outlineLevel="0" collapsed="false">
      <c r="A477" s="41"/>
      <c r="B477" s="42"/>
      <c r="C477" s="42"/>
      <c r="D477" s="43"/>
      <c r="E477" s="44"/>
      <c r="F477" s="45" t="str">
        <f aca="false">IF($B477="","",N($D477)*IF(N($E477)&gt;0,$E477,IFERROR(INDEX(Costos!$I$23:$I$300,MATCH($B477,Costos!$A$23:$A$300,0)),0)))</f>
        <v/>
      </c>
      <c r="G477" s="42"/>
    </row>
    <row r="478" customFormat="false" ht="15.75" hidden="false" customHeight="true" outlineLevel="0" collapsed="false">
      <c r="A478" s="41"/>
      <c r="B478" s="42"/>
      <c r="C478" s="42"/>
      <c r="D478" s="43"/>
      <c r="E478" s="44"/>
      <c r="F478" s="45" t="str">
        <f aca="false">IF($B478="","",N($D478)*IF(N($E478)&gt;0,$E478,IFERROR(INDEX(Costos!$I$23:$I$300,MATCH($B478,Costos!$A$23:$A$300,0)),0)))</f>
        <v/>
      </c>
      <c r="G478" s="42"/>
    </row>
    <row r="479" customFormat="false" ht="15.75" hidden="false" customHeight="true" outlineLevel="0" collapsed="false">
      <c r="A479" s="41"/>
      <c r="B479" s="42"/>
      <c r="C479" s="42"/>
      <c r="D479" s="43"/>
      <c r="E479" s="44"/>
      <c r="F479" s="45" t="str">
        <f aca="false">IF($B479="","",N($D479)*IF(N($E479)&gt;0,$E479,IFERROR(INDEX(Costos!$I$23:$I$300,MATCH($B479,Costos!$A$23:$A$300,0)),0)))</f>
        <v/>
      </c>
      <c r="G479" s="42"/>
    </row>
    <row r="480" customFormat="false" ht="15.75" hidden="false" customHeight="true" outlineLevel="0" collapsed="false">
      <c r="A480" s="41"/>
      <c r="B480" s="42"/>
      <c r="C480" s="42"/>
      <c r="D480" s="43"/>
      <c r="E480" s="44"/>
      <c r="F480" s="45" t="str">
        <f aca="false">IF($B480="","",N($D480)*IF(N($E480)&gt;0,$E480,IFERROR(INDEX(Costos!$I$23:$I$300,MATCH($B480,Costos!$A$23:$A$300,0)),0)))</f>
        <v/>
      </c>
      <c r="G480" s="42"/>
    </row>
    <row r="481" customFormat="false" ht="15.75" hidden="false" customHeight="true" outlineLevel="0" collapsed="false">
      <c r="A481" s="41"/>
      <c r="B481" s="42"/>
      <c r="C481" s="42"/>
      <c r="D481" s="43"/>
      <c r="E481" s="44"/>
      <c r="F481" s="45" t="str">
        <f aca="false">IF($B481="","",N($D481)*IF(N($E481)&gt;0,$E481,IFERROR(INDEX(Costos!$I$23:$I$300,MATCH($B481,Costos!$A$23:$A$300,0)),0)))</f>
        <v/>
      </c>
      <c r="G481" s="42"/>
    </row>
    <row r="482" customFormat="false" ht="15.75" hidden="false" customHeight="true" outlineLevel="0" collapsed="false">
      <c r="A482" s="41"/>
      <c r="B482" s="42"/>
      <c r="C482" s="42"/>
      <c r="D482" s="43"/>
      <c r="E482" s="44"/>
      <c r="F482" s="45" t="str">
        <f aca="false">IF($B482="","",N($D482)*IF(N($E482)&gt;0,$E482,IFERROR(INDEX(Costos!$I$23:$I$300,MATCH($B482,Costos!$A$23:$A$300,0)),0)))</f>
        <v/>
      </c>
      <c r="G482" s="42"/>
    </row>
    <row r="483" customFormat="false" ht="15.75" hidden="false" customHeight="true" outlineLevel="0" collapsed="false">
      <c r="A483" s="41"/>
      <c r="B483" s="42"/>
      <c r="C483" s="42"/>
      <c r="D483" s="43"/>
      <c r="E483" s="44"/>
      <c r="F483" s="45" t="str">
        <f aca="false">IF($B483="","",N($D483)*IF(N($E483)&gt;0,$E483,IFERROR(INDEX(Costos!$I$23:$I$300,MATCH($B483,Costos!$A$23:$A$300,0)),0)))</f>
        <v/>
      </c>
      <c r="G483" s="42"/>
    </row>
    <row r="484" customFormat="false" ht="15.75" hidden="false" customHeight="true" outlineLevel="0" collapsed="false">
      <c r="A484" s="41"/>
      <c r="B484" s="42"/>
      <c r="C484" s="42"/>
      <c r="D484" s="43"/>
      <c r="E484" s="44"/>
      <c r="F484" s="45" t="str">
        <f aca="false">IF($B484="","",N($D484)*IF(N($E484)&gt;0,$E484,IFERROR(INDEX(Costos!$I$23:$I$300,MATCH($B484,Costos!$A$23:$A$300,0)),0)))</f>
        <v/>
      </c>
      <c r="G484" s="42"/>
    </row>
    <row r="485" customFormat="false" ht="15.75" hidden="false" customHeight="true" outlineLevel="0" collapsed="false">
      <c r="A485" s="41"/>
      <c r="B485" s="42"/>
      <c r="C485" s="42"/>
      <c r="D485" s="43"/>
      <c r="E485" s="44"/>
      <c r="F485" s="45" t="str">
        <f aca="false">IF($B485="","",N($D485)*IF(N($E485)&gt;0,$E485,IFERROR(INDEX(Costos!$I$23:$I$300,MATCH($B485,Costos!$A$23:$A$300,0)),0)))</f>
        <v/>
      </c>
      <c r="G485" s="42"/>
    </row>
    <row r="486" customFormat="false" ht="15.75" hidden="false" customHeight="true" outlineLevel="0" collapsed="false">
      <c r="A486" s="41"/>
      <c r="B486" s="42"/>
      <c r="C486" s="42"/>
      <c r="D486" s="43"/>
      <c r="E486" s="44"/>
      <c r="F486" s="45" t="str">
        <f aca="false">IF($B486="","",N($D486)*IF(N($E486)&gt;0,$E486,IFERROR(INDEX(Costos!$I$23:$I$300,MATCH($B486,Costos!$A$23:$A$300,0)),0)))</f>
        <v/>
      </c>
      <c r="G486" s="42"/>
    </row>
    <row r="487" customFormat="false" ht="15.75" hidden="false" customHeight="true" outlineLevel="0" collapsed="false">
      <c r="A487" s="41"/>
      <c r="B487" s="42"/>
      <c r="C487" s="42"/>
      <c r="D487" s="43"/>
      <c r="E487" s="44"/>
      <c r="F487" s="45" t="str">
        <f aca="false">IF($B487="","",N($D487)*IF(N($E487)&gt;0,$E487,IFERROR(INDEX(Costos!$I$23:$I$300,MATCH($B487,Costos!$A$23:$A$300,0)),0)))</f>
        <v/>
      </c>
      <c r="G487" s="42"/>
    </row>
    <row r="488" customFormat="false" ht="15.75" hidden="false" customHeight="true" outlineLevel="0" collapsed="false">
      <c r="A488" s="41"/>
      <c r="B488" s="42"/>
      <c r="C488" s="42"/>
      <c r="D488" s="43"/>
      <c r="E488" s="44"/>
      <c r="F488" s="45" t="str">
        <f aca="false">IF($B488="","",N($D488)*IF(N($E488)&gt;0,$E488,IFERROR(INDEX(Costos!$I$23:$I$300,MATCH($B488,Costos!$A$23:$A$300,0)),0)))</f>
        <v/>
      </c>
      <c r="G488" s="42"/>
    </row>
    <row r="489" customFormat="false" ht="15.75" hidden="false" customHeight="true" outlineLevel="0" collapsed="false">
      <c r="A489" s="41"/>
      <c r="B489" s="42"/>
      <c r="C489" s="42"/>
      <c r="D489" s="43"/>
      <c r="E489" s="44"/>
      <c r="F489" s="45" t="str">
        <f aca="false">IF($B489="","",N($D489)*IF(N($E489)&gt;0,$E489,IFERROR(INDEX(Costos!$I$23:$I$300,MATCH($B489,Costos!$A$23:$A$300,0)),0)))</f>
        <v/>
      </c>
      <c r="G489" s="42"/>
    </row>
    <row r="490" customFormat="false" ht="15.75" hidden="false" customHeight="true" outlineLevel="0" collapsed="false">
      <c r="A490" s="41"/>
      <c r="B490" s="42"/>
      <c r="C490" s="42"/>
      <c r="D490" s="43"/>
      <c r="E490" s="44"/>
      <c r="F490" s="45" t="str">
        <f aca="false">IF($B490="","",N($D490)*IF(N($E490)&gt;0,$E490,IFERROR(INDEX(Costos!$I$23:$I$300,MATCH($B490,Costos!$A$23:$A$300,0)),0)))</f>
        <v/>
      </c>
      <c r="G490" s="42"/>
    </row>
    <row r="491" customFormat="false" ht="15.75" hidden="false" customHeight="true" outlineLevel="0" collapsed="false">
      <c r="A491" s="41"/>
      <c r="B491" s="42"/>
      <c r="C491" s="42"/>
      <c r="D491" s="43"/>
      <c r="E491" s="44"/>
      <c r="F491" s="45" t="str">
        <f aca="false">IF($B491="","",N($D491)*IF(N($E491)&gt;0,$E491,IFERROR(INDEX(Costos!$I$23:$I$300,MATCH($B491,Costos!$A$23:$A$300,0)),0)))</f>
        <v/>
      </c>
      <c r="G491" s="42"/>
    </row>
    <row r="492" customFormat="false" ht="15.75" hidden="false" customHeight="true" outlineLevel="0" collapsed="false">
      <c r="A492" s="41"/>
      <c r="B492" s="42"/>
      <c r="C492" s="42"/>
      <c r="D492" s="43"/>
      <c r="E492" s="44"/>
      <c r="F492" s="45" t="str">
        <f aca="false">IF($B492="","",N($D492)*IF(N($E492)&gt;0,$E492,IFERROR(INDEX(Costos!$I$23:$I$300,MATCH($B492,Costos!$A$23:$A$300,0)),0)))</f>
        <v/>
      </c>
      <c r="G492" s="42"/>
    </row>
    <row r="493" customFormat="false" ht="15.75" hidden="false" customHeight="true" outlineLevel="0" collapsed="false">
      <c r="A493" s="41"/>
      <c r="B493" s="42"/>
      <c r="C493" s="42"/>
      <c r="D493" s="43"/>
      <c r="E493" s="44"/>
      <c r="F493" s="45" t="str">
        <f aca="false">IF($B493="","",N($D493)*IF(N($E493)&gt;0,$E493,IFERROR(INDEX(Costos!$I$23:$I$300,MATCH($B493,Costos!$A$23:$A$300,0)),0)))</f>
        <v/>
      </c>
      <c r="G493" s="42"/>
    </row>
    <row r="494" customFormat="false" ht="15.75" hidden="false" customHeight="true" outlineLevel="0" collapsed="false">
      <c r="A494" s="41"/>
      <c r="B494" s="42"/>
      <c r="C494" s="42"/>
      <c r="D494" s="43"/>
      <c r="E494" s="44"/>
      <c r="F494" s="45" t="str">
        <f aca="false">IF($B494="","",N($D494)*IF(N($E494)&gt;0,$E494,IFERROR(INDEX(Costos!$I$23:$I$300,MATCH($B494,Costos!$A$23:$A$300,0)),0)))</f>
        <v/>
      </c>
      <c r="G494" s="42"/>
    </row>
    <row r="495" customFormat="false" ht="15.75" hidden="false" customHeight="true" outlineLevel="0" collapsed="false">
      <c r="A495" s="41"/>
      <c r="B495" s="42"/>
      <c r="C495" s="42"/>
      <c r="D495" s="43"/>
      <c r="E495" s="44"/>
      <c r="F495" s="45" t="str">
        <f aca="false">IF($B495="","",N($D495)*IF(N($E495)&gt;0,$E495,IFERROR(INDEX(Costos!$I$23:$I$300,MATCH($B495,Costos!$A$23:$A$300,0)),0)))</f>
        <v/>
      </c>
      <c r="G495" s="42"/>
    </row>
    <row r="496" customFormat="false" ht="15.75" hidden="false" customHeight="true" outlineLevel="0" collapsed="false">
      <c r="A496" s="41"/>
      <c r="B496" s="42"/>
      <c r="C496" s="42"/>
      <c r="D496" s="43"/>
      <c r="E496" s="44"/>
      <c r="F496" s="45" t="str">
        <f aca="false">IF($B496="","",N($D496)*IF(N($E496)&gt;0,$E496,IFERROR(INDEX(Costos!$I$23:$I$300,MATCH($B496,Costos!$A$23:$A$300,0)),0)))</f>
        <v/>
      </c>
      <c r="G496" s="42"/>
    </row>
    <row r="497" customFormat="false" ht="15.75" hidden="false" customHeight="true" outlineLevel="0" collapsed="false">
      <c r="A497" s="41"/>
      <c r="B497" s="42"/>
      <c r="C497" s="42"/>
      <c r="D497" s="43"/>
      <c r="E497" s="44"/>
      <c r="F497" s="45" t="str">
        <f aca="false">IF($B497="","",N($D497)*IF(N($E497)&gt;0,$E497,IFERROR(INDEX(Costos!$I$23:$I$300,MATCH($B497,Costos!$A$23:$A$300,0)),0)))</f>
        <v/>
      </c>
      <c r="G497" s="42"/>
    </row>
    <row r="498" customFormat="false" ht="15.75" hidden="false" customHeight="true" outlineLevel="0" collapsed="false">
      <c r="A498" s="41"/>
      <c r="B498" s="42"/>
      <c r="C498" s="42"/>
      <c r="D498" s="43"/>
      <c r="E498" s="44"/>
      <c r="F498" s="45" t="str">
        <f aca="false">IF($B498="","",N($D498)*IF(N($E498)&gt;0,$E498,IFERROR(INDEX(Costos!$I$23:$I$300,MATCH($B498,Costos!$A$23:$A$300,0)),0)))</f>
        <v/>
      </c>
      <c r="G498" s="42"/>
    </row>
    <row r="499" customFormat="false" ht="15.75" hidden="false" customHeight="true" outlineLevel="0" collapsed="false">
      <c r="A499" s="41"/>
      <c r="B499" s="42"/>
      <c r="C499" s="42"/>
      <c r="D499" s="43"/>
      <c r="E499" s="44"/>
      <c r="F499" s="45" t="str">
        <f aca="false">IF($B499="","",N($D499)*IF(N($E499)&gt;0,$E499,IFERROR(INDEX(Costos!$I$23:$I$300,MATCH($B499,Costos!$A$23:$A$300,0)),0)))</f>
        <v/>
      </c>
      <c r="G499" s="42"/>
    </row>
    <row r="500" customFormat="false" ht="15.75" hidden="false" customHeight="true" outlineLevel="0" collapsed="false">
      <c r="A500" s="41"/>
      <c r="B500" s="42"/>
      <c r="C500" s="42"/>
      <c r="D500" s="43"/>
      <c r="E500" s="44"/>
      <c r="F500" s="45" t="str">
        <f aca="false">IF($B500="","",N($D500)*IF(N($E500)&gt;0,$E500,IFERROR(INDEX(Costos!$I$23:$I$300,MATCH($B500,Costos!$A$23:$A$300,0)),0)))</f>
        <v/>
      </c>
      <c r="G500" s="42"/>
    </row>
    <row r="501" customFormat="false" ht="15.75" hidden="false" customHeight="true" outlineLevel="0" collapsed="false">
      <c r="A501" s="41"/>
      <c r="B501" s="42"/>
      <c r="C501" s="42"/>
      <c r="D501" s="43"/>
      <c r="E501" s="44"/>
      <c r="F501" s="45" t="str">
        <f aca="false">IF($B501="","",N($D501)*IF(N($E501)&gt;0,$E501,IFERROR(INDEX(Costos!$I$23:$I$300,MATCH($B501,Costos!$A$23:$A$300,0)),0)))</f>
        <v/>
      </c>
      <c r="G501" s="42"/>
    </row>
    <row r="502" customFormat="false" ht="15.75" hidden="false" customHeight="true" outlineLevel="0" collapsed="false">
      <c r="A502" s="41"/>
      <c r="B502" s="42"/>
      <c r="C502" s="42"/>
      <c r="D502" s="43"/>
      <c r="E502" s="44"/>
      <c r="F502" s="45" t="str">
        <f aca="false">IF($B502="","",N($D502)*IF(N($E502)&gt;0,$E502,IFERROR(INDEX(Costos!$I$23:$I$300,MATCH($B502,Costos!$A$23:$A$300,0)),0)))</f>
        <v/>
      </c>
      <c r="G502" s="42"/>
    </row>
    <row r="503" customFormat="false" ht="15.75" hidden="false" customHeight="true" outlineLevel="0" collapsed="false">
      <c r="A503" s="41"/>
      <c r="B503" s="42"/>
      <c r="C503" s="42"/>
      <c r="D503" s="43"/>
      <c r="E503" s="44"/>
      <c r="F503" s="45" t="str">
        <f aca="false">IF($B503="","",N($D503)*IF(N($E503)&gt;0,$E503,IFERROR(INDEX(Costos!$I$23:$I$300,MATCH($B503,Costos!$A$23:$A$300,0)),0)))</f>
        <v/>
      </c>
      <c r="G503" s="42"/>
    </row>
    <row r="504" customFormat="false" ht="15.75" hidden="false" customHeight="true" outlineLevel="0" collapsed="false">
      <c r="A504" s="41"/>
      <c r="B504" s="42"/>
      <c r="C504" s="42"/>
      <c r="D504" s="43"/>
      <c r="E504" s="44"/>
      <c r="F504" s="45" t="str">
        <f aca="false">IF($B504="","",N($D504)*IF(N($E504)&gt;0,$E504,IFERROR(INDEX(Costos!$I$23:$I$300,MATCH($B504,Costos!$A$23:$A$300,0)),0)))</f>
        <v/>
      </c>
      <c r="G504" s="42"/>
    </row>
    <row r="505" customFormat="false" ht="15.75" hidden="false" customHeight="true" outlineLevel="0" collapsed="false">
      <c r="A505" s="41"/>
      <c r="B505" s="42"/>
      <c r="C505" s="42"/>
      <c r="D505" s="43"/>
      <c r="E505" s="44"/>
      <c r="F505" s="45" t="str">
        <f aca="false">IF($B505="","",N($D505)*IF(N($E505)&gt;0,$E505,IFERROR(INDEX(Costos!$I$23:$I$300,MATCH($B505,Costos!$A$23:$A$300,0)),0)))</f>
        <v/>
      </c>
      <c r="G505" s="42"/>
    </row>
    <row r="506" customFormat="false" ht="15.75" hidden="false" customHeight="true" outlineLevel="0" collapsed="false">
      <c r="A506" s="41"/>
      <c r="B506" s="42"/>
      <c r="C506" s="42"/>
      <c r="D506" s="43"/>
      <c r="E506" s="44"/>
      <c r="F506" s="45" t="str">
        <f aca="false">IF($B506="","",N($D506)*IF(N($E506)&gt;0,$E506,IFERROR(INDEX(Costos!$I$23:$I$300,MATCH($B506,Costos!$A$23:$A$300,0)),0)))</f>
        <v/>
      </c>
      <c r="G506" s="42"/>
    </row>
    <row r="507" customFormat="false" ht="15.75" hidden="false" customHeight="true" outlineLevel="0" collapsed="false">
      <c r="A507" s="41"/>
      <c r="B507" s="42"/>
      <c r="C507" s="42"/>
      <c r="D507" s="43"/>
      <c r="E507" s="44"/>
      <c r="F507" s="45" t="str">
        <f aca="false">IF($B507="","",N($D507)*IF(N($E507)&gt;0,$E507,IFERROR(INDEX(Costos!$I$23:$I$300,MATCH($B507,Costos!$A$23:$A$300,0)),0)))</f>
        <v/>
      </c>
      <c r="G507" s="42"/>
    </row>
    <row r="508" customFormat="false" ht="15.75" hidden="false" customHeight="true" outlineLevel="0" collapsed="false">
      <c r="A508" s="41"/>
      <c r="B508" s="42"/>
      <c r="C508" s="42"/>
      <c r="D508" s="43"/>
      <c r="E508" s="44"/>
      <c r="F508" s="45" t="str">
        <f aca="false">IF($B508="","",N($D508)*IF(N($E508)&gt;0,$E508,IFERROR(INDEX(Costos!$I$23:$I$300,MATCH($B508,Costos!$A$23:$A$300,0)),0)))</f>
        <v/>
      </c>
      <c r="G508" s="42"/>
    </row>
    <row r="509" customFormat="false" ht="15.75" hidden="false" customHeight="true" outlineLevel="0" collapsed="false">
      <c r="A509" s="41"/>
      <c r="B509" s="42"/>
      <c r="C509" s="42"/>
      <c r="D509" s="43"/>
      <c r="E509" s="44"/>
      <c r="F509" s="45" t="str">
        <f aca="false">IF($B509="","",N($D509)*IF(N($E509)&gt;0,$E509,IFERROR(INDEX(Costos!$I$23:$I$300,MATCH($B509,Costos!$A$23:$A$300,0)),0)))</f>
        <v/>
      </c>
      <c r="G509" s="42"/>
    </row>
    <row r="510" customFormat="false" ht="15.75" hidden="false" customHeight="true" outlineLevel="0" collapsed="false">
      <c r="A510" s="41"/>
      <c r="B510" s="42"/>
      <c r="C510" s="42"/>
      <c r="D510" s="43"/>
      <c r="E510" s="44"/>
      <c r="F510" s="45" t="str">
        <f aca="false">IF($B510="","",N($D510)*IF(N($E510)&gt;0,$E510,IFERROR(INDEX(Costos!$I$23:$I$300,MATCH($B510,Costos!$A$23:$A$300,0)),0)))</f>
        <v/>
      </c>
      <c r="G510" s="42"/>
    </row>
    <row r="511" customFormat="false" ht="15.75" hidden="false" customHeight="true" outlineLevel="0" collapsed="false">
      <c r="A511" s="41"/>
      <c r="B511" s="42"/>
      <c r="C511" s="42"/>
      <c r="D511" s="43"/>
      <c r="E511" s="44"/>
      <c r="F511" s="45" t="str">
        <f aca="false">IF($B511="","",N($D511)*IF(N($E511)&gt;0,$E511,IFERROR(INDEX(Costos!$I$23:$I$300,MATCH($B511,Costos!$A$23:$A$300,0)),0)))</f>
        <v/>
      </c>
      <c r="G511" s="42"/>
    </row>
    <row r="512" customFormat="false" ht="15.75" hidden="false" customHeight="true" outlineLevel="0" collapsed="false">
      <c r="A512" s="41"/>
      <c r="B512" s="42"/>
      <c r="C512" s="42"/>
      <c r="D512" s="43"/>
      <c r="E512" s="44"/>
      <c r="F512" s="45" t="str">
        <f aca="false">IF($B512="","",N($D512)*IF(N($E512)&gt;0,$E512,IFERROR(INDEX(Costos!$I$23:$I$300,MATCH($B512,Costos!$A$23:$A$300,0)),0)))</f>
        <v/>
      </c>
      <c r="G512" s="42"/>
    </row>
    <row r="513" customFormat="false" ht="15.75" hidden="false" customHeight="true" outlineLevel="0" collapsed="false">
      <c r="A513" s="41"/>
      <c r="B513" s="42"/>
      <c r="C513" s="42"/>
      <c r="D513" s="43"/>
      <c r="E513" s="44"/>
      <c r="F513" s="45" t="str">
        <f aca="false">IF($B513="","",N($D513)*IF(N($E513)&gt;0,$E513,IFERROR(INDEX(Costos!$I$23:$I$300,MATCH($B513,Costos!$A$23:$A$300,0)),0)))</f>
        <v/>
      </c>
      <c r="G513" s="42"/>
    </row>
    <row r="514" customFormat="false" ht="15.75" hidden="false" customHeight="true" outlineLevel="0" collapsed="false">
      <c r="A514" s="41"/>
      <c r="B514" s="42"/>
      <c r="C514" s="42"/>
      <c r="D514" s="43"/>
      <c r="E514" s="44"/>
      <c r="F514" s="45" t="str">
        <f aca="false">IF($B514="","",N($D514)*IF(N($E514)&gt;0,$E514,IFERROR(INDEX(Costos!$I$23:$I$300,MATCH($B514,Costos!$A$23:$A$300,0)),0)))</f>
        <v/>
      </c>
      <c r="G514" s="42"/>
    </row>
    <row r="515" customFormat="false" ht="15.75" hidden="false" customHeight="true" outlineLevel="0" collapsed="false">
      <c r="A515" s="41"/>
      <c r="B515" s="42"/>
      <c r="C515" s="42"/>
      <c r="D515" s="43"/>
      <c r="E515" s="44"/>
      <c r="F515" s="45" t="str">
        <f aca="false">IF($B515="","",N($D515)*IF(N($E515)&gt;0,$E515,IFERROR(INDEX(Costos!$I$23:$I$300,MATCH($B515,Costos!$A$23:$A$300,0)),0)))</f>
        <v/>
      </c>
      <c r="G515" s="42"/>
    </row>
    <row r="516" customFormat="false" ht="15.75" hidden="false" customHeight="true" outlineLevel="0" collapsed="false">
      <c r="A516" s="41"/>
      <c r="B516" s="42"/>
      <c r="C516" s="42"/>
      <c r="D516" s="43"/>
      <c r="E516" s="44"/>
      <c r="F516" s="45" t="str">
        <f aca="false">IF($B516="","",N($D516)*IF(N($E516)&gt;0,$E516,IFERROR(INDEX(Costos!$I$23:$I$300,MATCH($B516,Costos!$A$23:$A$300,0)),0)))</f>
        <v/>
      </c>
      <c r="G516" s="42"/>
    </row>
    <row r="517" customFormat="false" ht="15.75" hidden="false" customHeight="true" outlineLevel="0" collapsed="false">
      <c r="A517" s="41"/>
      <c r="B517" s="42"/>
      <c r="C517" s="42"/>
      <c r="D517" s="43"/>
      <c r="E517" s="44"/>
      <c r="F517" s="45" t="str">
        <f aca="false">IF($B517="","",N($D517)*IF(N($E517)&gt;0,$E517,IFERROR(INDEX(Costos!$I$23:$I$300,MATCH($B517,Costos!$A$23:$A$300,0)),0)))</f>
        <v/>
      </c>
      <c r="G517" s="42"/>
    </row>
    <row r="518" customFormat="false" ht="15.75" hidden="false" customHeight="true" outlineLevel="0" collapsed="false">
      <c r="A518" s="41"/>
      <c r="B518" s="42"/>
      <c r="C518" s="42"/>
      <c r="D518" s="43"/>
      <c r="E518" s="44"/>
      <c r="F518" s="45" t="str">
        <f aca="false">IF($B518="","",N($D518)*IF(N($E518)&gt;0,$E518,IFERROR(INDEX(Costos!$I$23:$I$300,MATCH($B518,Costos!$A$23:$A$300,0)),0)))</f>
        <v/>
      </c>
      <c r="G518" s="42"/>
    </row>
    <row r="519" customFormat="false" ht="15.75" hidden="false" customHeight="true" outlineLevel="0" collapsed="false">
      <c r="A519" s="41"/>
      <c r="B519" s="42"/>
      <c r="C519" s="42"/>
      <c r="D519" s="43"/>
      <c r="E519" s="44"/>
      <c r="F519" s="45" t="str">
        <f aca="false">IF($B519="","",N($D519)*IF(N($E519)&gt;0,$E519,IFERROR(INDEX(Costos!$I$23:$I$300,MATCH($B519,Costos!$A$23:$A$300,0)),0)))</f>
        <v/>
      </c>
      <c r="G519" s="42"/>
    </row>
    <row r="520" customFormat="false" ht="15.75" hidden="false" customHeight="true" outlineLevel="0" collapsed="false">
      <c r="A520" s="41"/>
      <c r="B520" s="42"/>
      <c r="C520" s="42"/>
      <c r="D520" s="43"/>
      <c r="E520" s="44"/>
      <c r="F520" s="45" t="str">
        <f aca="false">IF($B520="","",N($D520)*IF(N($E520)&gt;0,$E520,IFERROR(INDEX(Costos!$I$23:$I$300,MATCH($B520,Costos!$A$23:$A$300,0)),0)))</f>
        <v/>
      </c>
      <c r="G520" s="42"/>
    </row>
    <row r="521" customFormat="false" ht="15.75" hidden="false" customHeight="true" outlineLevel="0" collapsed="false">
      <c r="A521" s="41"/>
      <c r="B521" s="42"/>
      <c r="C521" s="42"/>
      <c r="D521" s="43"/>
      <c r="E521" s="44"/>
      <c r="F521" s="45" t="str">
        <f aca="false">IF($B521="","",N($D521)*IF(N($E521)&gt;0,$E521,IFERROR(INDEX(Costos!$I$23:$I$300,MATCH($B521,Costos!$A$23:$A$300,0)),0)))</f>
        <v/>
      </c>
      <c r="G521" s="42"/>
    </row>
    <row r="522" customFormat="false" ht="15.75" hidden="false" customHeight="true" outlineLevel="0" collapsed="false">
      <c r="A522" s="41"/>
      <c r="B522" s="42"/>
      <c r="C522" s="42"/>
      <c r="D522" s="43"/>
      <c r="E522" s="44"/>
      <c r="F522" s="45" t="str">
        <f aca="false">IF($B522="","",N($D522)*IF(N($E522)&gt;0,$E522,IFERROR(INDEX(Costos!$I$23:$I$300,MATCH($B522,Costos!$A$23:$A$300,0)),0)))</f>
        <v/>
      </c>
      <c r="G522" s="42"/>
    </row>
    <row r="523" customFormat="false" ht="15.75" hidden="false" customHeight="true" outlineLevel="0" collapsed="false">
      <c r="A523" s="41"/>
      <c r="B523" s="42"/>
      <c r="C523" s="42"/>
      <c r="D523" s="43"/>
      <c r="E523" s="44"/>
      <c r="F523" s="45" t="str">
        <f aca="false">IF($B523="","",N($D523)*IF(N($E523)&gt;0,$E523,IFERROR(INDEX(Costos!$I$23:$I$300,MATCH($B523,Costos!$A$23:$A$300,0)),0)))</f>
        <v/>
      </c>
      <c r="G523" s="42"/>
    </row>
    <row r="524" customFormat="false" ht="15.75" hidden="false" customHeight="true" outlineLevel="0" collapsed="false">
      <c r="A524" s="41"/>
      <c r="B524" s="42"/>
      <c r="C524" s="42"/>
      <c r="D524" s="43"/>
      <c r="E524" s="44"/>
      <c r="F524" s="45" t="str">
        <f aca="false">IF($B524="","",N($D524)*IF(N($E524)&gt;0,$E524,IFERROR(INDEX(Costos!$I$23:$I$300,MATCH($B524,Costos!$A$23:$A$300,0)),0)))</f>
        <v/>
      </c>
      <c r="G524" s="42"/>
    </row>
    <row r="525" customFormat="false" ht="15.75" hidden="false" customHeight="true" outlineLevel="0" collapsed="false">
      <c r="A525" s="41"/>
      <c r="B525" s="42"/>
      <c r="C525" s="42"/>
      <c r="D525" s="43"/>
      <c r="E525" s="44"/>
      <c r="F525" s="45" t="str">
        <f aca="false">IF($B525="","",N($D525)*IF(N($E525)&gt;0,$E525,IFERROR(INDEX(Costos!$I$23:$I$300,MATCH($B525,Costos!$A$23:$A$300,0)),0)))</f>
        <v/>
      </c>
      <c r="G525" s="42"/>
    </row>
    <row r="526" customFormat="false" ht="15.75" hidden="false" customHeight="true" outlineLevel="0" collapsed="false">
      <c r="A526" s="41"/>
      <c r="B526" s="42"/>
      <c r="C526" s="42"/>
      <c r="D526" s="43"/>
      <c r="E526" s="44"/>
      <c r="F526" s="45" t="str">
        <f aca="false">IF($B526="","",N($D526)*IF(N($E526)&gt;0,$E526,IFERROR(INDEX(Costos!$I$23:$I$300,MATCH($B526,Costos!$A$23:$A$300,0)),0)))</f>
        <v/>
      </c>
      <c r="G526" s="42"/>
    </row>
    <row r="527" customFormat="false" ht="15.75" hidden="false" customHeight="true" outlineLevel="0" collapsed="false">
      <c r="A527" s="41"/>
      <c r="B527" s="42"/>
      <c r="C527" s="42"/>
      <c r="D527" s="43"/>
      <c r="E527" s="44"/>
      <c r="F527" s="45" t="str">
        <f aca="false">IF($B527="","",N($D527)*IF(N($E527)&gt;0,$E527,IFERROR(INDEX(Costos!$I$23:$I$300,MATCH($B527,Costos!$A$23:$A$300,0)),0)))</f>
        <v/>
      </c>
      <c r="G527" s="42"/>
    </row>
    <row r="528" customFormat="false" ht="15.75" hidden="false" customHeight="true" outlineLevel="0" collapsed="false">
      <c r="A528" s="41"/>
      <c r="B528" s="42"/>
      <c r="C528" s="42"/>
      <c r="D528" s="43"/>
      <c r="E528" s="44"/>
      <c r="F528" s="45" t="str">
        <f aca="false">IF($B528="","",N($D528)*IF(N($E528)&gt;0,$E528,IFERROR(INDEX(Costos!$I$23:$I$300,MATCH($B528,Costos!$A$23:$A$300,0)),0)))</f>
        <v/>
      </c>
      <c r="G528" s="42"/>
    </row>
    <row r="529" customFormat="false" ht="15.75" hidden="false" customHeight="true" outlineLevel="0" collapsed="false">
      <c r="A529" s="41"/>
      <c r="B529" s="42"/>
      <c r="C529" s="42"/>
      <c r="D529" s="43"/>
      <c r="E529" s="44"/>
      <c r="F529" s="45" t="str">
        <f aca="false">IF($B529="","",N($D529)*IF(N($E529)&gt;0,$E529,IFERROR(INDEX(Costos!$I$23:$I$300,MATCH($B529,Costos!$A$23:$A$300,0)),0)))</f>
        <v/>
      </c>
      <c r="G529" s="42"/>
    </row>
    <row r="530" customFormat="false" ht="15.75" hidden="false" customHeight="true" outlineLevel="0" collapsed="false">
      <c r="A530" s="41"/>
      <c r="B530" s="42"/>
      <c r="C530" s="42"/>
      <c r="D530" s="43"/>
      <c r="E530" s="44"/>
      <c r="F530" s="45" t="str">
        <f aca="false">IF($B530="","",N($D530)*IF(N($E530)&gt;0,$E530,IFERROR(INDEX(Costos!$I$23:$I$300,MATCH($B530,Costos!$A$23:$A$300,0)),0)))</f>
        <v/>
      </c>
      <c r="G530" s="42"/>
    </row>
    <row r="531" customFormat="false" ht="15.75" hidden="false" customHeight="true" outlineLevel="0" collapsed="false">
      <c r="A531" s="41"/>
      <c r="B531" s="42"/>
      <c r="C531" s="42"/>
      <c r="D531" s="43"/>
      <c r="E531" s="44"/>
      <c r="F531" s="45" t="str">
        <f aca="false">IF($B531="","",N($D531)*IF(N($E531)&gt;0,$E531,IFERROR(INDEX(Costos!$I$23:$I$300,MATCH($B531,Costos!$A$23:$A$300,0)),0)))</f>
        <v/>
      </c>
      <c r="G531" s="42"/>
    </row>
    <row r="532" customFormat="false" ht="15.75" hidden="false" customHeight="true" outlineLevel="0" collapsed="false">
      <c r="A532" s="41"/>
      <c r="B532" s="42"/>
      <c r="C532" s="42"/>
      <c r="D532" s="43"/>
      <c r="E532" s="44"/>
      <c r="F532" s="45" t="str">
        <f aca="false">IF($B532="","",N($D532)*IF(N($E532)&gt;0,$E532,IFERROR(INDEX(Costos!$I$23:$I$300,MATCH($B532,Costos!$A$23:$A$300,0)),0)))</f>
        <v/>
      </c>
      <c r="G532" s="42"/>
    </row>
    <row r="533" customFormat="false" ht="15.75" hidden="false" customHeight="true" outlineLevel="0" collapsed="false">
      <c r="A533" s="41"/>
      <c r="B533" s="42"/>
      <c r="C533" s="42"/>
      <c r="D533" s="43"/>
      <c r="E533" s="44"/>
      <c r="F533" s="45" t="str">
        <f aca="false">IF($B533="","",N($D533)*IF(N($E533)&gt;0,$E533,IFERROR(INDEX(Costos!$I$23:$I$300,MATCH($B533,Costos!$A$23:$A$300,0)),0)))</f>
        <v/>
      </c>
      <c r="G533" s="42"/>
    </row>
    <row r="534" customFormat="false" ht="15.75" hidden="false" customHeight="true" outlineLevel="0" collapsed="false">
      <c r="A534" s="41"/>
      <c r="B534" s="42"/>
      <c r="C534" s="42"/>
      <c r="D534" s="43"/>
      <c r="E534" s="44"/>
      <c r="F534" s="45" t="str">
        <f aca="false">IF($B534="","",N($D534)*IF(N($E534)&gt;0,$E534,IFERROR(INDEX(Costos!$I$23:$I$300,MATCH($B534,Costos!$A$23:$A$300,0)),0)))</f>
        <v/>
      </c>
      <c r="G534" s="42"/>
    </row>
    <row r="535" customFormat="false" ht="15.75" hidden="false" customHeight="true" outlineLevel="0" collapsed="false">
      <c r="A535" s="41"/>
      <c r="B535" s="42"/>
      <c r="C535" s="42"/>
      <c r="D535" s="43"/>
      <c r="E535" s="44"/>
      <c r="F535" s="45" t="str">
        <f aca="false">IF($B535="","",N($D535)*IF(N($E535)&gt;0,$E535,IFERROR(INDEX(Costos!$I$23:$I$300,MATCH($B535,Costos!$A$23:$A$300,0)),0)))</f>
        <v/>
      </c>
      <c r="G535" s="42"/>
    </row>
    <row r="536" customFormat="false" ht="15.75" hidden="false" customHeight="true" outlineLevel="0" collapsed="false">
      <c r="A536" s="41"/>
      <c r="B536" s="42"/>
      <c r="C536" s="42"/>
      <c r="D536" s="43"/>
      <c r="E536" s="44"/>
      <c r="F536" s="45" t="str">
        <f aca="false">IF($B536="","",N($D536)*IF(N($E536)&gt;0,$E536,IFERROR(INDEX(Costos!$I$23:$I$300,MATCH($B536,Costos!$A$23:$A$300,0)),0)))</f>
        <v/>
      </c>
      <c r="G536" s="42"/>
    </row>
    <row r="537" customFormat="false" ht="15.75" hidden="false" customHeight="true" outlineLevel="0" collapsed="false">
      <c r="A537" s="41"/>
      <c r="B537" s="42"/>
      <c r="C537" s="42"/>
      <c r="D537" s="43"/>
      <c r="E537" s="44"/>
      <c r="F537" s="45" t="str">
        <f aca="false">IF($B537="","",N($D537)*IF(N($E537)&gt;0,$E537,IFERROR(INDEX(Costos!$I$23:$I$300,MATCH($B537,Costos!$A$23:$A$300,0)),0)))</f>
        <v/>
      </c>
      <c r="G537" s="42"/>
    </row>
    <row r="538" customFormat="false" ht="15.75" hidden="false" customHeight="true" outlineLevel="0" collapsed="false">
      <c r="A538" s="41"/>
      <c r="B538" s="42"/>
      <c r="C538" s="42"/>
      <c r="D538" s="43"/>
      <c r="E538" s="44"/>
      <c r="F538" s="45" t="str">
        <f aca="false">IF($B538="","",N($D538)*IF(N($E538)&gt;0,$E538,IFERROR(INDEX(Costos!$I$23:$I$300,MATCH($B538,Costos!$A$23:$A$300,0)),0)))</f>
        <v/>
      </c>
      <c r="G538" s="42"/>
    </row>
    <row r="539" customFormat="false" ht="15.75" hidden="false" customHeight="true" outlineLevel="0" collapsed="false">
      <c r="A539" s="41"/>
      <c r="B539" s="42"/>
      <c r="C539" s="42"/>
      <c r="D539" s="43"/>
      <c r="E539" s="44"/>
      <c r="F539" s="45" t="str">
        <f aca="false">IF($B539="","",N($D539)*IF(N($E539)&gt;0,$E539,IFERROR(INDEX(Costos!$I$23:$I$300,MATCH($B539,Costos!$A$23:$A$300,0)),0)))</f>
        <v/>
      </c>
      <c r="G539" s="42"/>
    </row>
    <row r="540" customFormat="false" ht="15.75" hidden="false" customHeight="true" outlineLevel="0" collapsed="false">
      <c r="A540" s="41"/>
      <c r="B540" s="42"/>
      <c r="C540" s="42"/>
      <c r="D540" s="43"/>
      <c r="E540" s="44"/>
      <c r="F540" s="45" t="str">
        <f aca="false">IF($B540="","",N($D540)*IF(N($E540)&gt;0,$E540,IFERROR(INDEX(Costos!$I$23:$I$300,MATCH($B540,Costos!$A$23:$A$300,0)),0)))</f>
        <v/>
      </c>
      <c r="G540" s="42"/>
    </row>
    <row r="541" customFormat="false" ht="15.75" hidden="false" customHeight="true" outlineLevel="0" collapsed="false">
      <c r="A541" s="41"/>
      <c r="B541" s="42"/>
      <c r="C541" s="42"/>
      <c r="D541" s="43"/>
      <c r="E541" s="44"/>
      <c r="F541" s="45" t="str">
        <f aca="false">IF($B541="","",N($D541)*IF(N($E541)&gt;0,$E541,IFERROR(INDEX(Costos!$I$23:$I$300,MATCH($B541,Costos!$A$23:$A$300,0)),0)))</f>
        <v/>
      </c>
      <c r="G541" s="42"/>
    </row>
    <row r="542" customFormat="false" ht="15.75" hidden="false" customHeight="true" outlineLevel="0" collapsed="false">
      <c r="A542" s="41"/>
      <c r="B542" s="42"/>
      <c r="C542" s="42"/>
      <c r="D542" s="43"/>
      <c r="E542" s="44"/>
      <c r="F542" s="45" t="str">
        <f aca="false">IF($B542="","",N($D542)*IF(N($E542)&gt;0,$E542,IFERROR(INDEX(Costos!$I$23:$I$300,MATCH($B542,Costos!$A$23:$A$300,0)),0)))</f>
        <v/>
      </c>
      <c r="G542" s="42"/>
    </row>
    <row r="543" customFormat="false" ht="15.75" hidden="false" customHeight="true" outlineLevel="0" collapsed="false">
      <c r="A543" s="41"/>
      <c r="B543" s="42"/>
      <c r="C543" s="42"/>
      <c r="D543" s="43"/>
      <c r="E543" s="44"/>
      <c r="F543" s="45" t="str">
        <f aca="false">IF($B543="","",N($D543)*IF(N($E543)&gt;0,$E543,IFERROR(INDEX(Costos!$I$23:$I$300,MATCH($B543,Costos!$A$23:$A$300,0)),0)))</f>
        <v/>
      </c>
      <c r="G543" s="42"/>
    </row>
    <row r="544" customFormat="false" ht="15.75" hidden="false" customHeight="true" outlineLevel="0" collapsed="false">
      <c r="A544" s="41"/>
      <c r="B544" s="42"/>
      <c r="C544" s="42"/>
      <c r="D544" s="43"/>
      <c r="E544" s="44"/>
      <c r="F544" s="45" t="str">
        <f aca="false">IF($B544="","",N($D544)*IF(N($E544)&gt;0,$E544,IFERROR(INDEX(Costos!$I$23:$I$300,MATCH($B544,Costos!$A$23:$A$300,0)),0)))</f>
        <v/>
      </c>
      <c r="G544" s="42"/>
    </row>
    <row r="545" customFormat="false" ht="15.75" hidden="false" customHeight="true" outlineLevel="0" collapsed="false">
      <c r="A545" s="41"/>
      <c r="B545" s="42"/>
      <c r="C545" s="42"/>
      <c r="D545" s="43"/>
      <c r="E545" s="44"/>
      <c r="F545" s="45" t="str">
        <f aca="false">IF($B545="","",N($D545)*IF(N($E545)&gt;0,$E545,IFERROR(INDEX(Costos!$I$23:$I$300,MATCH($B545,Costos!$A$23:$A$300,0)),0)))</f>
        <v/>
      </c>
      <c r="G545" s="42"/>
    </row>
    <row r="546" customFormat="false" ht="15.75" hidden="false" customHeight="true" outlineLevel="0" collapsed="false">
      <c r="A546" s="41"/>
      <c r="B546" s="42"/>
      <c r="C546" s="42"/>
      <c r="D546" s="43"/>
      <c r="E546" s="44"/>
      <c r="F546" s="45" t="str">
        <f aca="false">IF($B546="","",N($D546)*IF(N($E546)&gt;0,$E546,IFERROR(INDEX(Costos!$I$23:$I$300,MATCH($B546,Costos!$A$23:$A$300,0)),0)))</f>
        <v/>
      </c>
      <c r="G546" s="42"/>
    </row>
    <row r="547" customFormat="false" ht="15.75" hidden="false" customHeight="true" outlineLevel="0" collapsed="false">
      <c r="A547" s="41"/>
      <c r="B547" s="42"/>
      <c r="C547" s="42"/>
      <c r="D547" s="43"/>
      <c r="E547" s="44"/>
      <c r="F547" s="45" t="str">
        <f aca="false">IF($B547="","",N($D547)*IF(N($E547)&gt;0,$E547,IFERROR(INDEX(Costos!$I$23:$I$300,MATCH($B547,Costos!$A$23:$A$300,0)),0)))</f>
        <v/>
      </c>
      <c r="G547" s="42"/>
    </row>
    <row r="548" customFormat="false" ht="15.75" hidden="false" customHeight="true" outlineLevel="0" collapsed="false">
      <c r="A548" s="41"/>
      <c r="B548" s="42"/>
      <c r="C548" s="42"/>
      <c r="D548" s="43"/>
      <c r="E548" s="44"/>
      <c r="F548" s="45" t="str">
        <f aca="false">IF($B548="","",N($D548)*IF(N($E548)&gt;0,$E548,IFERROR(INDEX(Costos!$I$23:$I$300,MATCH($B548,Costos!$A$23:$A$300,0)),0)))</f>
        <v/>
      </c>
      <c r="G548" s="42"/>
    </row>
    <row r="549" customFormat="false" ht="15.75" hidden="false" customHeight="true" outlineLevel="0" collapsed="false">
      <c r="A549" s="41"/>
      <c r="B549" s="42"/>
      <c r="C549" s="42"/>
      <c r="D549" s="43"/>
      <c r="E549" s="44"/>
      <c r="F549" s="45" t="str">
        <f aca="false">IF($B549="","",N($D549)*IF(N($E549)&gt;0,$E549,IFERROR(INDEX(Costos!$I$23:$I$300,MATCH($B549,Costos!$A$23:$A$300,0)),0)))</f>
        <v/>
      </c>
      <c r="G549" s="42"/>
    </row>
    <row r="550" customFormat="false" ht="15.75" hidden="false" customHeight="true" outlineLevel="0" collapsed="false">
      <c r="A550" s="41"/>
      <c r="B550" s="42"/>
      <c r="C550" s="42"/>
      <c r="D550" s="43"/>
      <c r="E550" s="44"/>
      <c r="F550" s="45" t="str">
        <f aca="false">IF($B550="","",N($D550)*IF(N($E550)&gt;0,$E550,IFERROR(INDEX(Costos!$I$23:$I$300,MATCH($B550,Costos!$A$23:$A$300,0)),0)))</f>
        <v/>
      </c>
      <c r="G550" s="42"/>
    </row>
    <row r="551" customFormat="false" ht="15.75" hidden="false" customHeight="true" outlineLevel="0" collapsed="false">
      <c r="A551" s="41"/>
      <c r="B551" s="42"/>
      <c r="C551" s="42"/>
      <c r="D551" s="43"/>
      <c r="E551" s="44"/>
      <c r="F551" s="45" t="str">
        <f aca="false">IF($B551="","",N($D551)*IF(N($E551)&gt;0,$E551,IFERROR(INDEX(Costos!$I$23:$I$300,MATCH($B551,Costos!$A$23:$A$300,0)),0)))</f>
        <v/>
      </c>
      <c r="G551" s="42"/>
    </row>
    <row r="552" customFormat="false" ht="15.75" hidden="false" customHeight="true" outlineLevel="0" collapsed="false">
      <c r="A552" s="41"/>
      <c r="B552" s="42"/>
      <c r="C552" s="42"/>
      <c r="D552" s="43"/>
      <c r="E552" s="44"/>
      <c r="F552" s="45" t="str">
        <f aca="false">IF($B552="","",N($D552)*IF(N($E552)&gt;0,$E552,IFERROR(INDEX(Costos!$I$23:$I$300,MATCH($B552,Costos!$A$23:$A$300,0)),0)))</f>
        <v/>
      </c>
      <c r="G552" s="42"/>
    </row>
    <row r="553" customFormat="false" ht="15.75" hidden="false" customHeight="true" outlineLevel="0" collapsed="false">
      <c r="A553" s="41"/>
      <c r="B553" s="42"/>
      <c r="C553" s="42"/>
      <c r="D553" s="43"/>
      <c r="E553" s="44"/>
      <c r="F553" s="45" t="str">
        <f aca="false">IF($B553="","",N($D553)*IF(N($E553)&gt;0,$E553,IFERROR(INDEX(Costos!$I$23:$I$300,MATCH($B553,Costos!$A$23:$A$300,0)),0)))</f>
        <v/>
      </c>
      <c r="G553" s="42"/>
    </row>
    <row r="554" customFormat="false" ht="15.75" hidden="false" customHeight="true" outlineLevel="0" collapsed="false">
      <c r="A554" s="41"/>
      <c r="B554" s="42"/>
      <c r="C554" s="42"/>
      <c r="D554" s="43"/>
      <c r="E554" s="44"/>
      <c r="F554" s="45" t="str">
        <f aca="false">IF($B554="","",N($D554)*IF(N($E554)&gt;0,$E554,IFERROR(INDEX(Costos!$I$23:$I$300,MATCH($B554,Costos!$A$23:$A$300,0)),0)))</f>
        <v/>
      </c>
      <c r="G554" s="42"/>
    </row>
    <row r="555" customFormat="false" ht="15.75" hidden="false" customHeight="true" outlineLevel="0" collapsed="false">
      <c r="A555" s="41"/>
      <c r="B555" s="42"/>
      <c r="C555" s="42"/>
      <c r="D555" s="43"/>
      <c r="E555" s="44"/>
      <c r="F555" s="45" t="str">
        <f aca="false">IF($B555="","",N($D555)*IF(N($E555)&gt;0,$E555,IFERROR(INDEX(Costos!$I$23:$I$300,MATCH($B555,Costos!$A$23:$A$300,0)),0)))</f>
        <v/>
      </c>
      <c r="G555" s="42"/>
    </row>
    <row r="556" customFormat="false" ht="15.75" hidden="false" customHeight="true" outlineLevel="0" collapsed="false">
      <c r="A556" s="41"/>
      <c r="B556" s="42"/>
      <c r="C556" s="42"/>
      <c r="D556" s="43"/>
      <c r="E556" s="44"/>
      <c r="F556" s="45" t="str">
        <f aca="false">IF($B556="","",N($D556)*IF(N($E556)&gt;0,$E556,IFERROR(INDEX(Costos!$I$23:$I$300,MATCH($B556,Costos!$A$23:$A$300,0)),0)))</f>
        <v/>
      </c>
      <c r="G556" s="42"/>
    </row>
    <row r="557" customFormat="false" ht="15.75" hidden="false" customHeight="true" outlineLevel="0" collapsed="false">
      <c r="A557" s="41"/>
      <c r="B557" s="42"/>
      <c r="C557" s="42"/>
      <c r="D557" s="43"/>
      <c r="E557" s="44"/>
      <c r="F557" s="45" t="str">
        <f aca="false">IF($B557="","",N($D557)*IF(N($E557)&gt;0,$E557,IFERROR(INDEX(Costos!$I$23:$I$300,MATCH($B557,Costos!$A$23:$A$300,0)),0)))</f>
        <v/>
      </c>
      <c r="G557" s="42"/>
    </row>
    <row r="558" customFormat="false" ht="15.75" hidden="false" customHeight="true" outlineLevel="0" collapsed="false">
      <c r="A558" s="41"/>
      <c r="B558" s="42"/>
      <c r="C558" s="42"/>
      <c r="D558" s="43"/>
      <c r="E558" s="44"/>
      <c r="F558" s="45" t="str">
        <f aca="false">IF($B558="","",N($D558)*IF(N($E558)&gt;0,$E558,IFERROR(INDEX(Costos!$I$23:$I$300,MATCH($B558,Costos!$A$23:$A$300,0)),0)))</f>
        <v/>
      </c>
      <c r="G558" s="42"/>
    </row>
    <row r="559" customFormat="false" ht="15.75" hidden="false" customHeight="true" outlineLevel="0" collapsed="false">
      <c r="A559" s="41"/>
      <c r="B559" s="42"/>
      <c r="C559" s="42"/>
      <c r="D559" s="43"/>
      <c r="E559" s="44"/>
      <c r="F559" s="45" t="str">
        <f aca="false">IF($B559="","",N($D559)*IF(N($E559)&gt;0,$E559,IFERROR(INDEX(Costos!$I$23:$I$300,MATCH($B559,Costos!$A$23:$A$300,0)),0)))</f>
        <v/>
      </c>
      <c r="G559" s="42"/>
    </row>
    <row r="560" customFormat="false" ht="15.75" hidden="false" customHeight="true" outlineLevel="0" collapsed="false">
      <c r="A560" s="41"/>
      <c r="B560" s="42"/>
      <c r="C560" s="42"/>
      <c r="D560" s="43"/>
      <c r="E560" s="44"/>
      <c r="F560" s="45" t="str">
        <f aca="false">IF($B560="","",N($D560)*IF(N($E560)&gt;0,$E560,IFERROR(INDEX(Costos!$I$23:$I$300,MATCH($B560,Costos!$A$23:$A$300,0)),0)))</f>
        <v/>
      </c>
      <c r="G560" s="42"/>
    </row>
    <row r="561" customFormat="false" ht="15.75" hidden="false" customHeight="true" outlineLevel="0" collapsed="false">
      <c r="A561" s="41"/>
      <c r="B561" s="42"/>
      <c r="C561" s="42"/>
      <c r="D561" s="43"/>
      <c r="E561" s="44"/>
      <c r="F561" s="45" t="str">
        <f aca="false">IF($B561="","",N($D561)*IF(N($E561)&gt;0,$E561,IFERROR(INDEX(Costos!$I$23:$I$300,MATCH($B561,Costos!$A$23:$A$300,0)),0)))</f>
        <v/>
      </c>
      <c r="G561" s="42"/>
    </row>
    <row r="562" customFormat="false" ht="15.75" hidden="false" customHeight="true" outlineLevel="0" collapsed="false">
      <c r="A562" s="41"/>
      <c r="B562" s="42"/>
      <c r="C562" s="42"/>
      <c r="D562" s="43"/>
      <c r="E562" s="44"/>
      <c r="F562" s="45" t="str">
        <f aca="false">IF($B562="","",N($D562)*IF(N($E562)&gt;0,$E562,IFERROR(INDEX(Costos!$I$23:$I$300,MATCH($B562,Costos!$A$23:$A$300,0)),0)))</f>
        <v/>
      </c>
      <c r="G562" s="42"/>
    </row>
    <row r="563" customFormat="false" ht="15.75" hidden="false" customHeight="true" outlineLevel="0" collapsed="false">
      <c r="A563" s="41"/>
      <c r="B563" s="42"/>
      <c r="C563" s="42"/>
      <c r="D563" s="43"/>
      <c r="E563" s="44"/>
      <c r="F563" s="45" t="str">
        <f aca="false">IF($B563="","",N($D563)*IF(N($E563)&gt;0,$E563,IFERROR(INDEX(Costos!$I$23:$I$300,MATCH($B563,Costos!$A$23:$A$300,0)),0)))</f>
        <v/>
      </c>
      <c r="G563" s="42"/>
    </row>
    <row r="564" customFormat="false" ht="15.75" hidden="false" customHeight="true" outlineLevel="0" collapsed="false">
      <c r="A564" s="41"/>
      <c r="B564" s="42"/>
      <c r="C564" s="42"/>
      <c r="D564" s="43"/>
      <c r="E564" s="44"/>
      <c r="F564" s="45" t="str">
        <f aca="false">IF($B564="","",N($D564)*IF(N($E564)&gt;0,$E564,IFERROR(INDEX(Costos!$I$23:$I$300,MATCH($B564,Costos!$A$23:$A$300,0)),0)))</f>
        <v/>
      </c>
      <c r="G564" s="42"/>
    </row>
    <row r="565" customFormat="false" ht="15.75" hidden="false" customHeight="true" outlineLevel="0" collapsed="false">
      <c r="A565" s="41"/>
      <c r="B565" s="42"/>
      <c r="C565" s="42"/>
      <c r="D565" s="43"/>
      <c r="E565" s="44"/>
      <c r="F565" s="45" t="str">
        <f aca="false">IF($B565="","",N($D565)*IF(N($E565)&gt;0,$E565,IFERROR(INDEX(Costos!$I$23:$I$300,MATCH($B565,Costos!$A$23:$A$300,0)),0)))</f>
        <v/>
      </c>
      <c r="G565" s="42"/>
    </row>
    <row r="566" customFormat="false" ht="15.75" hidden="false" customHeight="true" outlineLevel="0" collapsed="false">
      <c r="A566" s="41"/>
      <c r="B566" s="42"/>
      <c r="C566" s="42"/>
      <c r="D566" s="43"/>
      <c r="E566" s="44"/>
      <c r="F566" s="45" t="str">
        <f aca="false">IF($B566="","",N($D566)*IF(N($E566)&gt;0,$E566,IFERROR(INDEX(Costos!$I$23:$I$300,MATCH($B566,Costos!$A$23:$A$300,0)),0)))</f>
        <v/>
      </c>
      <c r="G566" s="42"/>
    </row>
    <row r="567" customFormat="false" ht="15.75" hidden="false" customHeight="true" outlineLevel="0" collapsed="false">
      <c r="A567" s="41"/>
      <c r="B567" s="42"/>
      <c r="C567" s="42"/>
      <c r="D567" s="43"/>
      <c r="E567" s="44"/>
      <c r="F567" s="45" t="str">
        <f aca="false">IF($B567="","",N($D567)*IF(N($E567)&gt;0,$E567,IFERROR(INDEX(Costos!$I$23:$I$300,MATCH($B567,Costos!$A$23:$A$300,0)),0)))</f>
        <v/>
      </c>
      <c r="G567" s="42"/>
    </row>
    <row r="568" customFormat="false" ht="15.75" hidden="false" customHeight="true" outlineLevel="0" collapsed="false">
      <c r="A568" s="41"/>
      <c r="B568" s="42"/>
      <c r="C568" s="42"/>
      <c r="D568" s="43"/>
      <c r="E568" s="44"/>
      <c r="F568" s="45" t="str">
        <f aca="false">IF($B568="","",N($D568)*IF(N($E568)&gt;0,$E568,IFERROR(INDEX(Costos!$I$23:$I$300,MATCH($B568,Costos!$A$23:$A$300,0)),0)))</f>
        <v/>
      </c>
      <c r="G568" s="42"/>
    </row>
    <row r="569" customFormat="false" ht="15.75" hidden="false" customHeight="true" outlineLevel="0" collapsed="false">
      <c r="A569" s="41"/>
      <c r="B569" s="42"/>
      <c r="C569" s="42"/>
      <c r="D569" s="43"/>
      <c r="E569" s="44"/>
      <c r="F569" s="45" t="str">
        <f aca="false">IF($B569="","",N($D569)*IF(N($E569)&gt;0,$E569,IFERROR(INDEX(Costos!$I$23:$I$300,MATCH($B569,Costos!$A$23:$A$300,0)),0)))</f>
        <v/>
      </c>
      <c r="G569" s="42"/>
    </row>
    <row r="570" customFormat="false" ht="15.75" hidden="false" customHeight="true" outlineLevel="0" collapsed="false">
      <c r="A570" s="41"/>
      <c r="B570" s="42"/>
      <c r="C570" s="42"/>
      <c r="D570" s="43"/>
      <c r="E570" s="44"/>
      <c r="F570" s="45" t="str">
        <f aca="false">IF($B570="","",N($D570)*IF(N($E570)&gt;0,$E570,IFERROR(INDEX(Costos!$I$23:$I$300,MATCH($B570,Costos!$A$23:$A$300,0)),0)))</f>
        <v/>
      </c>
      <c r="G570" s="42"/>
    </row>
    <row r="571" customFormat="false" ht="15.75" hidden="false" customHeight="true" outlineLevel="0" collapsed="false">
      <c r="A571" s="41"/>
      <c r="B571" s="42"/>
      <c r="C571" s="42"/>
      <c r="D571" s="43"/>
      <c r="E571" s="44"/>
      <c r="F571" s="45" t="str">
        <f aca="false">IF($B571="","",N($D571)*IF(N($E571)&gt;0,$E571,IFERROR(INDEX(Costos!$I$23:$I$300,MATCH($B571,Costos!$A$23:$A$300,0)),0)))</f>
        <v/>
      </c>
      <c r="G571" s="42"/>
    </row>
    <row r="572" customFormat="false" ht="15.75" hidden="false" customHeight="true" outlineLevel="0" collapsed="false">
      <c r="A572" s="41"/>
      <c r="B572" s="42"/>
      <c r="C572" s="42"/>
      <c r="D572" s="43"/>
      <c r="E572" s="44"/>
      <c r="F572" s="45" t="str">
        <f aca="false">IF($B572="","",N($D572)*IF(N($E572)&gt;0,$E572,IFERROR(INDEX(Costos!$I$23:$I$300,MATCH($B572,Costos!$A$23:$A$300,0)),0)))</f>
        <v/>
      </c>
      <c r="G572" s="42"/>
    </row>
    <row r="573" customFormat="false" ht="15.75" hidden="false" customHeight="true" outlineLevel="0" collapsed="false">
      <c r="A573" s="41"/>
      <c r="B573" s="42"/>
      <c r="C573" s="42"/>
      <c r="D573" s="43"/>
      <c r="E573" s="44"/>
      <c r="F573" s="45" t="str">
        <f aca="false">IF($B573="","",N($D573)*IF(N($E573)&gt;0,$E573,IFERROR(INDEX(Costos!$I$23:$I$300,MATCH($B573,Costos!$A$23:$A$300,0)),0)))</f>
        <v/>
      </c>
      <c r="G573" s="42"/>
    </row>
    <row r="574" customFormat="false" ht="15.75" hidden="false" customHeight="true" outlineLevel="0" collapsed="false">
      <c r="A574" s="41"/>
      <c r="B574" s="42"/>
      <c r="C574" s="42"/>
      <c r="D574" s="43"/>
      <c r="E574" s="44"/>
      <c r="F574" s="45" t="str">
        <f aca="false">IF($B574="","",N($D574)*IF(N($E574)&gt;0,$E574,IFERROR(INDEX(Costos!$I$23:$I$300,MATCH($B574,Costos!$A$23:$A$300,0)),0)))</f>
        <v/>
      </c>
      <c r="G574" s="42"/>
    </row>
    <row r="575" customFormat="false" ht="15.75" hidden="false" customHeight="true" outlineLevel="0" collapsed="false">
      <c r="A575" s="41"/>
      <c r="B575" s="42"/>
      <c r="C575" s="42"/>
      <c r="D575" s="43"/>
      <c r="E575" s="44"/>
      <c r="F575" s="45" t="str">
        <f aca="false">IF($B575="","",N($D575)*IF(N($E575)&gt;0,$E575,IFERROR(INDEX(Costos!$I$23:$I$300,MATCH($B575,Costos!$A$23:$A$300,0)),0)))</f>
        <v/>
      </c>
      <c r="G575" s="42"/>
    </row>
    <row r="576" customFormat="false" ht="15.75" hidden="false" customHeight="true" outlineLevel="0" collapsed="false">
      <c r="A576" s="41"/>
      <c r="B576" s="42"/>
      <c r="C576" s="42"/>
      <c r="D576" s="43"/>
      <c r="E576" s="44"/>
      <c r="F576" s="45" t="str">
        <f aca="false">IF($B576="","",N($D576)*IF(N($E576)&gt;0,$E576,IFERROR(INDEX(Costos!$I$23:$I$300,MATCH($B576,Costos!$A$23:$A$300,0)),0)))</f>
        <v/>
      </c>
      <c r="G576" s="42"/>
    </row>
    <row r="577" customFormat="false" ht="15.75" hidden="false" customHeight="true" outlineLevel="0" collapsed="false">
      <c r="A577" s="41"/>
      <c r="B577" s="42"/>
      <c r="C577" s="42"/>
      <c r="D577" s="43"/>
      <c r="E577" s="44"/>
      <c r="F577" s="45" t="str">
        <f aca="false">IF($B577="","",N($D577)*IF(N($E577)&gt;0,$E577,IFERROR(INDEX(Costos!$I$23:$I$300,MATCH($B577,Costos!$A$23:$A$300,0)),0)))</f>
        <v/>
      </c>
      <c r="G577" s="42"/>
    </row>
    <row r="578" customFormat="false" ht="15.75" hidden="false" customHeight="true" outlineLevel="0" collapsed="false">
      <c r="A578" s="41"/>
      <c r="B578" s="42"/>
      <c r="C578" s="42"/>
      <c r="D578" s="43"/>
      <c r="E578" s="44"/>
      <c r="F578" s="45" t="str">
        <f aca="false">IF($B578="","",N($D578)*IF(N($E578)&gt;0,$E578,IFERROR(INDEX(Costos!$I$23:$I$300,MATCH($B578,Costos!$A$23:$A$300,0)),0)))</f>
        <v/>
      </c>
      <c r="G578" s="42"/>
    </row>
    <row r="579" customFormat="false" ht="15.75" hidden="false" customHeight="true" outlineLevel="0" collapsed="false">
      <c r="A579" s="41"/>
      <c r="B579" s="42"/>
      <c r="C579" s="42"/>
      <c r="D579" s="43"/>
      <c r="E579" s="44"/>
      <c r="F579" s="45" t="str">
        <f aca="false">IF($B579="","",N($D579)*IF(N($E579)&gt;0,$E579,IFERROR(INDEX(Costos!$I$23:$I$300,MATCH($B579,Costos!$A$23:$A$300,0)),0)))</f>
        <v/>
      </c>
      <c r="G579" s="42"/>
    </row>
    <row r="580" customFormat="false" ht="15.75" hidden="false" customHeight="true" outlineLevel="0" collapsed="false">
      <c r="A580" s="41"/>
      <c r="B580" s="42"/>
      <c r="C580" s="42"/>
      <c r="D580" s="43"/>
      <c r="E580" s="44"/>
      <c r="F580" s="45" t="str">
        <f aca="false">IF($B580="","",N($D580)*IF(N($E580)&gt;0,$E580,IFERROR(INDEX(Costos!$I$23:$I$300,MATCH($B580,Costos!$A$23:$A$300,0)),0)))</f>
        <v/>
      </c>
      <c r="G580" s="42"/>
    </row>
    <row r="581" customFormat="false" ht="15.75" hidden="false" customHeight="true" outlineLevel="0" collapsed="false">
      <c r="A581" s="41"/>
      <c r="B581" s="42"/>
      <c r="C581" s="42"/>
      <c r="D581" s="43"/>
      <c r="E581" s="44"/>
      <c r="F581" s="45" t="str">
        <f aca="false">IF($B581="","",N($D581)*IF(N($E581)&gt;0,$E581,IFERROR(INDEX(Costos!$I$23:$I$300,MATCH($B581,Costos!$A$23:$A$300,0)),0)))</f>
        <v/>
      </c>
      <c r="G581" s="42"/>
    </row>
    <row r="582" customFormat="false" ht="15.75" hidden="false" customHeight="true" outlineLevel="0" collapsed="false">
      <c r="A582" s="41"/>
      <c r="B582" s="42"/>
      <c r="C582" s="42"/>
      <c r="D582" s="43"/>
      <c r="E582" s="44"/>
      <c r="F582" s="45" t="str">
        <f aca="false">IF($B582="","",N($D582)*IF(N($E582)&gt;0,$E582,IFERROR(INDEX(Costos!$I$23:$I$300,MATCH($B582,Costos!$A$23:$A$300,0)),0)))</f>
        <v/>
      </c>
      <c r="G582" s="42"/>
    </row>
    <row r="583" customFormat="false" ht="15.75" hidden="false" customHeight="true" outlineLevel="0" collapsed="false">
      <c r="A583" s="41"/>
      <c r="B583" s="42"/>
      <c r="C583" s="42"/>
      <c r="D583" s="43"/>
      <c r="E583" s="44"/>
      <c r="F583" s="45" t="str">
        <f aca="false">IF($B583="","",N($D583)*IF(N($E583)&gt;0,$E583,IFERROR(INDEX(Costos!$I$23:$I$300,MATCH($B583,Costos!$A$23:$A$300,0)),0)))</f>
        <v/>
      </c>
      <c r="G583" s="42"/>
    </row>
    <row r="584" customFormat="false" ht="15.75" hidden="false" customHeight="true" outlineLevel="0" collapsed="false">
      <c r="A584" s="41"/>
      <c r="B584" s="42"/>
      <c r="C584" s="42"/>
      <c r="D584" s="43"/>
      <c r="E584" s="44"/>
      <c r="F584" s="45" t="str">
        <f aca="false">IF($B584="","",N($D584)*IF(N($E584)&gt;0,$E584,IFERROR(INDEX(Costos!$I$23:$I$300,MATCH($B584,Costos!$A$23:$A$300,0)),0)))</f>
        <v/>
      </c>
      <c r="G584" s="42"/>
    </row>
    <row r="585" customFormat="false" ht="15.75" hidden="false" customHeight="true" outlineLevel="0" collapsed="false">
      <c r="A585" s="41"/>
      <c r="B585" s="42"/>
      <c r="C585" s="42"/>
      <c r="D585" s="43"/>
      <c r="E585" s="44"/>
      <c r="F585" s="45" t="str">
        <f aca="false">IF($B585="","",N($D585)*IF(N($E585)&gt;0,$E585,IFERROR(INDEX(Costos!$I$23:$I$300,MATCH($B585,Costos!$A$23:$A$300,0)),0)))</f>
        <v/>
      </c>
      <c r="G585" s="42"/>
    </row>
    <row r="586" customFormat="false" ht="15.75" hidden="false" customHeight="true" outlineLevel="0" collapsed="false">
      <c r="A586" s="41"/>
      <c r="B586" s="42"/>
      <c r="C586" s="42"/>
      <c r="D586" s="43"/>
      <c r="E586" s="44"/>
      <c r="F586" s="45" t="str">
        <f aca="false">IF($B586="","",N($D586)*IF(N($E586)&gt;0,$E586,IFERROR(INDEX(Costos!$I$23:$I$300,MATCH($B586,Costos!$A$23:$A$300,0)),0)))</f>
        <v/>
      </c>
      <c r="G586" s="42"/>
    </row>
    <row r="587" customFormat="false" ht="15.75" hidden="false" customHeight="true" outlineLevel="0" collapsed="false">
      <c r="A587" s="41"/>
      <c r="B587" s="42"/>
      <c r="C587" s="42"/>
      <c r="D587" s="43"/>
      <c r="E587" s="44"/>
      <c r="F587" s="45" t="str">
        <f aca="false">IF($B587="","",N($D587)*IF(N($E587)&gt;0,$E587,IFERROR(INDEX(Costos!$I$23:$I$300,MATCH($B587,Costos!$A$23:$A$300,0)),0)))</f>
        <v/>
      </c>
      <c r="G587" s="42"/>
    </row>
    <row r="588" customFormat="false" ht="15.75" hidden="false" customHeight="true" outlineLevel="0" collapsed="false">
      <c r="A588" s="41"/>
      <c r="B588" s="42"/>
      <c r="C588" s="42"/>
      <c r="D588" s="43"/>
      <c r="E588" s="44"/>
      <c r="F588" s="45" t="str">
        <f aca="false">IF($B588="","",N($D588)*IF(N($E588)&gt;0,$E588,IFERROR(INDEX(Costos!$I$23:$I$300,MATCH($B588,Costos!$A$23:$A$300,0)),0)))</f>
        <v/>
      </c>
      <c r="G588" s="42"/>
    </row>
    <row r="589" customFormat="false" ht="15.75" hidden="false" customHeight="true" outlineLevel="0" collapsed="false">
      <c r="A589" s="41"/>
      <c r="B589" s="42"/>
      <c r="C589" s="42"/>
      <c r="D589" s="43"/>
      <c r="E589" s="44"/>
      <c r="F589" s="45" t="str">
        <f aca="false">IF($B589="","",N($D589)*IF(N($E589)&gt;0,$E589,IFERROR(INDEX(Costos!$I$23:$I$300,MATCH($B589,Costos!$A$23:$A$300,0)),0)))</f>
        <v/>
      </c>
      <c r="G589" s="42"/>
    </row>
    <row r="590" customFormat="false" ht="15.75" hidden="false" customHeight="true" outlineLevel="0" collapsed="false">
      <c r="A590" s="41"/>
      <c r="B590" s="42"/>
      <c r="C590" s="42"/>
      <c r="D590" s="43"/>
      <c r="E590" s="44"/>
      <c r="F590" s="45" t="str">
        <f aca="false">IF($B590="","",N($D590)*IF(N($E590)&gt;0,$E590,IFERROR(INDEX(Costos!$I$23:$I$300,MATCH($B590,Costos!$A$23:$A$300,0)),0)))</f>
        <v/>
      </c>
      <c r="G590" s="42"/>
    </row>
    <row r="591" customFormat="false" ht="15.75" hidden="false" customHeight="true" outlineLevel="0" collapsed="false">
      <c r="A591" s="41"/>
      <c r="B591" s="42"/>
      <c r="C591" s="42"/>
      <c r="D591" s="43"/>
      <c r="E591" s="44"/>
      <c r="F591" s="45" t="str">
        <f aca="false">IF($B591="","",N($D591)*IF(N($E591)&gt;0,$E591,IFERROR(INDEX(Costos!$I$23:$I$300,MATCH($B591,Costos!$A$23:$A$300,0)),0)))</f>
        <v/>
      </c>
      <c r="G591" s="42"/>
    </row>
    <row r="592" customFormat="false" ht="15.75" hidden="false" customHeight="true" outlineLevel="0" collapsed="false">
      <c r="A592" s="41"/>
      <c r="B592" s="42"/>
      <c r="C592" s="42"/>
      <c r="D592" s="43"/>
      <c r="E592" s="44"/>
      <c r="F592" s="45" t="str">
        <f aca="false">IF($B592="","",N($D592)*IF(N($E592)&gt;0,$E592,IFERROR(INDEX(Costos!$I$23:$I$300,MATCH($B592,Costos!$A$23:$A$300,0)),0)))</f>
        <v/>
      </c>
      <c r="G592" s="42"/>
    </row>
    <row r="593" customFormat="false" ht="15.75" hidden="false" customHeight="true" outlineLevel="0" collapsed="false">
      <c r="A593" s="41"/>
      <c r="B593" s="42"/>
      <c r="C593" s="42"/>
      <c r="D593" s="43"/>
      <c r="E593" s="44"/>
      <c r="F593" s="45" t="str">
        <f aca="false">IF($B593="","",N($D593)*IF(N($E593)&gt;0,$E593,IFERROR(INDEX(Costos!$I$23:$I$300,MATCH($B593,Costos!$A$23:$A$300,0)),0)))</f>
        <v/>
      </c>
      <c r="G593" s="42"/>
    </row>
    <row r="594" customFormat="false" ht="15.75" hidden="false" customHeight="true" outlineLevel="0" collapsed="false">
      <c r="A594" s="41"/>
      <c r="B594" s="42"/>
      <c r="C594" s="42"/>
      <c r="D594" s="43"/>
      <c r="E594" s="44"/>
      <c r="F594" s="45" t="str">
        <f aca="false">IF($B594="","",N($D594)*IF(N($E594)&gt;0,$E594,IFERROR(INDEX(Costos!$I$23:$I$300,MATCH($B594,Costos!$A$23:$A$300,0)),0)))</f>
        <v/>
      </c>
      <c r="G594" s="42"/>
    </row>
    <row r="595" customFormat="false" ht="15.75" hidden="false" customHeight="true" outlineLevel="0" collapsed="false">
      <c r="A595" s="41"/>
      <c r="B595" s="42"/>
      <c r="C595" s="42"/>
      <c r="D595" s="43"/>
      <c r="E595" s="44"/>
      <c r="F595" s="45" t="str">
        <f aca="false">IF($B595="","",N($D595)*IF(N($E595)&gt;0,$E595,IFERROR(INDEX(Costos!$I$23:$I$300,MATCH($B595,Costos!$A$23:$A$300,0)),0)))</f>
        <v/>
      </c>
      <c r="G595" s="42"/>
    </row>
    <row r="596" customFormat="false" ht="15.75" hidden="false" customHeight="true" outlineLevel="0" collapsed="false">
      <c r="A596" s="41"/>
      <c r="B596" s="42"/>
      <c r="C596" s="42"/>
      <c r="D596" s="43"/>
      <c r="E596" s="44"/>
      <c r="F596" s="45" t="str">
        <f aca="false">IF($B596="","",N($D596)*IF(N($E596)&gt;0,$E596,IFERROR(INDEX(Costos!$I$23:$I$300,MATCH($B596,Costos!$A$23:$A$300,0)),0)))</f>
        <v/>
      </c>
      <c r="G596" s="42"/>
    </row>
    <row r="597" customFormat="false" ht="15.75" hidden="false" customHeight="true" outlineLevel="0" collapsed="false">
      <c r="A597" s="41"/>
      <c r="B597" s="42"/>
      <c r="C597" s="42"/>
      <c r="D597" s="43"/>
      <c r="E597" s="44"/>
      <c r="F597" s="45" t="str">
        <f aca="false">IF($B597="","",N($D597)*IF(N($E597)&gt;0,$E597,IFERROR(INDEX(Costos!$I$23:$I$300,MATCH($B597,Costos!$A$23:$A$300,0)),0)))</f>
        <v/>
      </c>
      <c r="G597" s="42"/>
    </row>
    <row r="598" customFormat="false" ht="15.75" hidden="false" customHeight="true" outlineLevel="0" collapsed="false">
      <c r="A598" s="41"/>
      <c r="B598" s="42"/>
      <c r="C598" s="42"/>
      <c r="D598" s="43"/>
      <c r="E598" s="44"/>
      <c r="F598" s="45" t="str">
        <f aca="false">IF($B598="","",N($D598)*IF(N($E598)&gt;0,$E598,IFERROR(INDEX(Costos!$I$23:$I$300,MATCH($B598,Costos!$A$23:$A$300,0)),0)))</f>
        <v/>
      </c>
      <c r="G598" s="42"/>
    </row>
    <row r="599" customFormat="false" ht="15.75" hidden="false" customHeight="true" outlineLevel="0" collapsed="false">
      <c r="A599" s="41"/>
      <c r="B599" s="42"/>
      <c r="C599" s="42"/>
      <c r="D599" s="43"/>
      <c r="E599" s="44"/>
      <c r="F599" s="45" t="str">
        <f aca="false">IF($B599="","",N($D599)*IF(N($E599)&gt;0,$E599,IFERROR(INDEX(Costos!$I$23:$I$300,MATCH($B599,Costos!$A$23:$A$300,0)),0)))</f>
        <v/>
      </c>
      <c r="G599" s="42"/>
    </row>
    <row r="600" customFormat="false" ht="15.75" hidden="false" customHeight="true" outlineLevel="0" collapsed="false">
      <c r="A600" s="41"/>
      <c r="B600" s="42"/>
      <c r="C600" s="42"/>
      <c r="D600" s="43"/>
      <c r="E600" s="44"/>
      <c r="F600" s="45" t="str">
        <f aca="false">IF($B600="","",N($D600)*IF(N($E600)&gt;0,$E600,IFERROR(INDEX(Costos!$I$23:$I$300,MATCH($B600,Costos!$A$23:$A$300,0)),0)))</f>
        <v/>
      </c>
      <c r="G600" s="42"/>
    </row>
    <row r="601" customFormat="false" ht="15.75" hidden="false" customHeight="true" outlineLevel="0" collapsed="false">
      <c r="A601" s="41"/>
      <c r="B601" s="42"/>
      <c r="C601" s="42"/>
      <c r="D601" s="43"/>
      <c r="E601" s="44"/>
      <c r="F601" s="45" t="str">
        <f aca="false">IF($B601="","",N($D601)*IF(N($E601)&gt;0,$E601,IFERROR(INDEX(Costos!$I$23:$I$300,MATCH($B601,Costos!$A$23:$A$300,0)),0)))</f>
        <v/>
      </c>
      <c r="G601" s="42"/>
    </row>
    <row r="602" customFormat="false" ht="15.75" hidden="false" customHeight="true" outlineLevel="0" collapsed="false">
      <c r="A602" s="41"/>
      <c r="B602" s="42"/>
      <c r="C602" s="42"/>
      <c r="D602" s="43"/>
      <c r="E602" s="44"/>
      <c r="F602" s="45" t="str">
        <f aca="false">IF($B602="","",N($D602)*IF(N($E602)&gt;0,$E602,IFERROR(INDEX(Costos!$I$23:$I$300,MATCH($B602,Costos!$A$23:$A$300,0)),0)))</f>
        <v/>
      </c>
      <c r="G602" s="42"/>
    </row>
    <row r="603" customFormat="false" ht="15.75" hidden="false" customHeight="true" outlineLevel="0" collapsed="false">
      <c r="A603" s="41"/>
      <c r="B603" s="42"/>
      <c r="C603" s="42"/>
      <c r="D603" s="43"/>
      <c r="E603" s="44"/>
      <c r="F603" s="45" t="str">
        <f aca="false">IF($B603="","",N($D603)*IF(N($E603)&gt;0,$E603,IFERROR(INDEX(Costos!$I$23:$I$300,MATCH($B603,Costos!$A$23:$A$300,0)),0)))</f>
        <v/>
      </c>
      <c r="G603" s="42"/>
    </row>
    <row r="604" customFormat="false" ht="15.75" hidden="false" customHeight="true" outlineLevel="0" collapsed="false">
      <c r="A604" s="41"/>
      <c r="B604" s="42"/>
      <c r="C604" s="42"/>
      <c r="D604" s="43"/>
      <c r="E604" s="44"/>
      <c r="F604" s="45" t="str">
        <f aca="false">IF($B604="","",N($D604)*IF(N($E604)&gt;0,$E604,IFERROR(INDEX(Costos!$I$23:$I$300,MATCH($B604,Costos!$A$23:$A$300,0)),0)))</f>
        <v/>
      </c>
      <c r="G604" s="42"/>
    </row>
    <row r="605" customFormat="false" ht="15.75" hidden="false" customHeight="true" outlineLevel="0" collapsed="false">
      <c r="A605" s="41"/>
      <c r="B605" s="42"/>
      <c r="C605" s="42"/>
      <c r="D605" s="43"/>
      <c r="E605" s="44"/>
      <c r="F605" s="45" t="str">
        <f aca="false">IF($B605="","",N($D605)*IF(N($E605)&gt;0,$E605,IFERROR(INDEX(Costos!$I$23:$I$300,MATCH($B605,Costos!$A$23:$A$300,0)),0)))</f>
        <v/>
      </c>
      <c r="G605" s="42"/>
    </row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>
      <c r="A608" s="39" t="s">
        <v>258</v>
      </c>
    </row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2">
    <dataValidation allowBlank="true" errorStyle="stop" operator="between" showDropDown="false" showErrorMessage="false" showInputMessage="false" sqref="C6:C605" type="list">
      <formula1>"Único,Chico,Mediano,Grande"</formula1>
      <formula2>0</formula2>
    </dataValidation>
    <dataValidation allowBlank="true" errorStyle="stop" operator="between" showDropDown="false" showErrorMessage="false" showInputMessage="false" sqref="B6:B605" type="list">
      <formula1>Costos!$A$23:$A$300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.38"/>
    <col collapsed="false" customWidth="true" hidden="false" outlineLevel="0" max="2" min="2" style="0" width="26.26"/>
    <col collapsed="false" customWidth="true" hidden="false" outlineLevel="0" max="3" min="3" style="0" width="10.5"/>
    <col collapsed="false" customWidth="true" hidden="false" outlineLevel="0" max="4" min="4" style="0" width="8.75"/>
    <col collapsed="false" customWidth="true" hidden="false" outlineLevel="0" max="5" min="5" style="0" width="14"/>
    <col collapsed="false" customWidth="true" hidden="false" outlineLevel="0" max="6" min="6" style="0" width="12.25"/>
    <col collapsed="false" customWidth="true" hidden="false" outlineLevel="0" max="8" min="7" style="0" width="22.76"/>
    <col collapsed="false" customWidth="true" hidden="false" outlineLevel="0" max="26" min="9" style="0" width="7.63"/>
  </cols>
  <sheetData>
    <row r="1" customFormat="false" ht="17.35" hidden="false" customHeight="false" outlineLevel="0" collapsed="false">
      <c r="A1" s="38" t="s">
        <v>259</v>
      </c>
    </row>
    <row r="2" customFormat="false" ht="15" hidden="false" customHeight="false" outlineLevel="0" collapsed="false">
      <c r="A2" s="39" t="s">
        <v>260</v>
      </c>
    </row>
    <row r="3" customFormat="false" ht="15" hidden="false" customHeight="false" outlineLevel="0" collapsed="false">
      <c r="A3" s="39" t="s">
        <v>261</v>
      </c>
    </row>
    <row r="5" customFormat="false" ht="15" hidden="false" customHeight="false" outlineLevel="0" collapsed="false">
      <c r="A5" s="40" t="s">
        <v>245</v>
      </c>
      <c r="B5" s="40" t="s">
        <v>33</v>
      </c>
      <c r="C5" s="40" t="s">
        <v>246</v>
      </c>
      <c r="D5" s="40" t="s">
        <v>247</v>
      </c>
      <c r="E5" s="40" t="s">
        <v>262</v>
      </c>
      <c r="F5" s="40" t="s">
        <v>249</v>
      </c>
      <c r="G5" s="40" t="s">
        <v>263</v>
      </c>
      <c r="H5" s="40" t="s">
        <v>8</v>
      </c>
    </row>
    <row r="6" customFormat="false" ht="15" hidden="false" customHeight="false" outlineLevel="0" collapsed="false">
      <c r="A6" s="41" t="n">
        <v>46243</v>
      </c>
      <c r="B6" s="42" t="s">
        <v>256</v>
      </c>
      <c r="C6" s="42" t="s">
        <v>253</v>
      </c>
      <c r="D6" s="43" t="n">
        <v>1</v>
      </c>
      <c r="E6" s="44"/>
      <c r="F6" s="45" t="n">
        <f aca="false">IF($B6="","",N($D6)*IF(N($E6)&gt;0,$E6,IFERROR(INDEX(Costos!$K$23:$K$300,MATCH($B6,Costos!$A$23:$A$300,0)),0)))</f>
        <v>19000</v>
      </c>
      <c r="G6" s="42" t="s">
        <v>264</v>
      </c>
      <c r="H6" s="42"/>
    </row>
    <row r="7" customFormat="false" ht="15" hidden="false" customHeight="false" outlineLevel="0" collapsed="false">
      <c r="A7" s="41" t="n">
        <v>46243</v>
      </c>
      <c r="B7" s="42" t="s">
        <v>256</v>
      </c>
      <c r="C7" s="42" t="s">
        <v>255</v>
      </c>
      <c r="D7" s="43" t="n">
        <v>1</v>
      </c>
      <c r="E7" s="44"/>
      <c r="F7" s="45" t="n">
        <f aca="false">IF($B7="","",N($D7)*IF(N($E7)&gt;0,$E7,IFERROR(INDEX(Costos!$K$23:$K$300,MATCH($B7,Costos!$A$23:$A$300,0)),0)))</f>
        <v>19000</v>
      </c>
      <c r="G7" s="42" t="s">
        <v>264</v>
      </c>
      <c r="H7" s="42"/>
    </row>
    <row r="8" customFormat="false" ht="15" hidden="false" customHeight="false" outlineLevel="0" collapsed="false">
      <c r="A8" s="41" t="n">
        <v>46243</v>
      </c>
      <c r="B8" s="42" t="s">
        <v>80</v>
      </c>
      <c r="C8" s="42" t="s">
        <v>251</v>
      </c>
      <c r="D8" s="43" t="n">
        <v>1</v>
      </c>
      <c r="E8" s="44"/>
      <c r="F8" s="45" t="n">
        <f aca="false">IF($B8="","",N($D8)*IF(N($E8)&gt;0,$E8,IFERROR(INDEX(Costos!$K$23:$K$300,MATCH($B8,Costos!$A$23:$A$300,0)),0)))</f>
        <v>7000</v>
      </c>
      <c r="G8" s="42" t="s">
        <v>264</v>
      </c>
      <c r="H8" s="42"/>
    </row>
    <row r="9" customFormat="false" ht="15" hidden="false" customHeight="false" outlineLevel="0" collapsed="false">
      <c r="A9" s="41" t="n">
        <v>46251</v>
      </c>
      <c r="B9" s="42" t="s">
        <v>62</v>
      </c>
      <c r="C9" s="42" t="s">
        <v>251</v>
      </c>
      <c r="D9" s="43" t="n">
        <v>1</v>
      </c>
      <c r="E9" s="44"/>
      <c r="F9" s="45" t="n">
        <f aca="false">IF($B9="","",N($D9)*IF(N($E9)&gt;0,$E9,IFERROR(INDEX(Costos!$K$23:$K$300,MATCH($B9,Costos!$A$23:$A$300,0)),0)))</f>
        <v>12500</v>
      </c>
      <c r="G9" s="42" t="s">
        <v>265</v>
      </c>
      <c r="H9" s="42"/>
    </row>
    <row r="10" customFormat="false" ht="15" hidden="false" customHeight="false" outlineLevel="0" collapsed="false">
      <c r="A10" s="41" t="n">
        <v>46251</v>
      </c>
      <c r="B10" s="42" t="s">
        <v>46</v>
      </c>
      <c r="C10" s="42" t="s">
        <v>251</v>
      </c>
      <c r="D10" s="43" t="n">
        <v>1</v>
      </c>
      <c r="E10" s="44"/>
      <c r="F10" s="45" t="n">
        <f aca="false">IF($B10="","",N($D10)*IF(N($E10)&gt;0,$E10,IFERROR(INDEX(Costos!$K$23:$K$300,MATCH($B10,Costos!$A$23:$A$300,0)),0)))</f>
        <v>7000</v>
      </c>
      <c r="G10" s="42" t="s">
        <v>266</v>
      </c>
      <c r="H10" s="42"/>
    </row>
    <row r="11" customFormat="false" ht="15" hidden="false" customHeight="false" outlineLevel="0" collapsed="false">
      <c r="A11" s="41" t="n">
        <v>46251</v>
      </c>
      <c r="B11" s="42" t="s">
        <v>52</v>
      </c>
      <c r="C11" s="42" t="s">
        <v>251</v>
      </c>
      <c r="D11" s="43" t="n">
        <v>1</v>
      </c>
      <c r="E11" s="44"/>
      <c r="F11" s="45" t="n">
        <f aca="false">IF($B11="","",N($D11)*IF(N($E11)&gt;0,$E11,IFERROR(INDEX(Costos!$K$23:$K$300,MATCH($B11,Costos!$A$23:$A$300,0)),0)))</f>
        <v>7500</v>
      </c>
      <c r="G11" s="42" t="s">
        <v>266</v>
      </c>
      <c r="H11" s="42"/>
    </row>
    <row r="12" customFormat="false" ht="15" hidden="false" customHeight="false" outlineLevel="0" collapsed="false">
      <c r="A12" s="41" t="n">
        <v>46251</v>
      </c>
      <c r="B12" s="42" t="s">
        <v>81</v>
      </c>
      <c r="C12" s="42" t="s">
        <v>251</v>
      </c>
      <c r="D12" s="43" t="n">
        <v>1</v>
      </c>
      <c r="E12" s="44"/>
      <c r="F12" s="45" t="n">
        <f aca="false">IF($B12="","",N($D12)*IF(N($E12)&gt;0,$E12,IFERROR(INDEX(Costos!$K$23:$K$300,MATCH($B12,Costos!$A$23:$A$300,0)),0)))</f>
        <v>7500</v>
      </c>
      <c r="G12" s="42" t="s">
        <v>266</v>
      </c>
      <c r="H12" s="42"/>
    </row>
    <row r="13" customFormat="false" ht="15" hidden="false" customHeight="false" outlineLevel="0" collapsed="false">
      <c r="A13" s="41" t="n">
        <v>46252</v>
      </c>
      <c r="B13" s="42" t="s">
        <v>98</v>
      </c>
      <c r="C13" s="42" t="s">
        <v>251</v>
      </c>
      <c r="D13" s="43" t="n">
        <v>1</v>
      </c>
      <c r="E13" s="44"/>
      <c r="F13" s="45" t="n">
        <f aca="false">IF($B13="","",N($D13)*IF(N($E13)&gt;0,$E13,IFERROR(INDEX(Costos!$K$23:$K$300,MATCH($B13,Costos!$A$23:$A$300,0)),0)))</f>
        <v>11500</v>
      </c>
      <c r="G13" s="42" t="s">
        <v>266</v>
      </c>
      <c r="H13" s="42"/>
    </row>
    <row r="14" customFormat="false" ht="15" hidden="false" customHeight="false" outlineLevel="0" collapsed="false">
      <c r="A14" s="41" t="n">
        <v>46252</v>
      </c>
      <c r="B14" s="42" t="s">
        <v>104</v>
      </c>
      <c r="C14" s="42" t="s">
        <v>251</v>
      </c>
      <c r="D14" s="43" t="n">
        <v>1</v>
      </c>
      <c r="E14" s="44"/>
      <c r="F14" s="45" t="n">
        <f aca="false">IF($B14="","",N($D14)*IF(N($E14)&gt;0,$E14,IFERROR(INDEX(Costos!$K$23:$K$300,MATCH($B14,Costos!$A$23:$A$300,0)),0)))</f>
        <v>11500</v>
      </c>
      <c r="G14" s="42" t="s">
        <v>266</v>
      </c>
      <c r="H14" s="42"/>
    </row>
    <row r="15" customFormat="false" ht="15" hidden="false" customHeight="false" outlineLevel="0" collapsed="false">
      <c r="A15" s="41" t="n">
        <v>46254</v>
      </c>
      <c r="B15" s="42" t="s">
        <v>109</v>
      </c>
      <c r="C15" s="42" t="s">
        <v>251</v>
      </c>
      <c r="D15" s="43" t="n">
        <v>1</v>
      </c>
      <c r="E15" s="44"/>
      <c r="F15" s="45" t="n">
        <f aca="false">IF($B15="","",N($D15)*IF(N($E15)&gt;0,$E15,IFERROR(INDEX(Costos!$K$23:$K$300,MATCH($B15,Costos!$A$23:$A$300,0)),0)))</f>
        <v>11500</v>
      </c>
      <c r="G15" s="42" t="s">
        <v>267</v>
      </c>
      <c r="H15" s="42"/>
    </row>
    <row r="16" customFormat="false" ht="15" hidden="false" customHeight="false" outlineLevel="0" collapsed="false">
      <c r="A16" s="41" t="n">
        <v>46254</v>
      </c>
      <c r="B16" s="42" t="s">
        <v>105</v>
      </c>
      <c r="C16" s="42" t="s">
        <v>251</v>
      </c>
      <c r="D16" s="43" t="n">
        <v>1</v>
      </c>
      <c r="E16" s="44"/>
      <c r="F16" s="45" t="n">
        <f aca="false">IF($B16="","",N($D16)*IF(N($E16)&gt;0,$E16,IFERROR(INDEX(Costos!$K$23:$K$300,MATCH($B16,Costos!$A$23:$A$300,0)),0)))</f>
        <v>13000</v>
      </c>
      <c r="G16" s="42" t="s">
        <v>267</v>
      </c>
      <c r="H16" s="42"/>
    </row>
    <row r="17" customFormat="false" ht="15" hidden="false" customHeight="false" outlineLevel="0" collapsed="false">
      <c r="A17" s="41" t="n">
        <v>46254</v>
      </c>
      <c r="B17" s="42" t="s">
        <v>131</v>
      </c>
      <c r="C17" s="42" t="s">
        <v>253</v>
      </c>
      <c r="D17" s="43" t="n">
        <v>1</v>
      </c>
      <c r="E17" s="44"/>
      <c r="F17" s="45" t="n">
        <f aca="false">IF($B17="","",N($D17)*IF(N($E17)&gt;0,$E17,IFERROR(INDEX(Costos!$K$23:$K$300,MATCH($B17,Costos!$A$23:$A$300,0)),0)))</f>
        <v>20000</v>
      </c>
      <c r="G17" s="42" t="s">
        <v>268</v>
      </c>
      <c r="H17" s="42"/>
    </row>
    <row r="18" customFormat="false" ht="15" hidden="false" customHeight="false" outlineLevel="0" collapsed="false">
      <c r="A18" s="48" t="n">
        <v>46254</v>
      </c>
      <c r="B18" s="49" t="s">
        <v>109</v>
      </c>
      <c r="C18" s="49" t="s">
        <v>251</v>
      </c>
      <c r="D18" s="50" t="n">
        <v>1</v>
      </c>
      <c r="E18" s="51" t="n">
        <v>0</v>
      </c>
      <c r="F18" s="52" t="n">
        <f aca="false">IF($B18="","",N($D18)*IF(N($E18)&gt;0,$E18,IFERROR(INDEX(Costos!$K$23:$K$300,MATCH($B18,Costos!$A$23:$A$300,0)),0)))</f>
        <v>11500</v>
      </c>
      <c r="G18" s="49" t="s">
        <v>269</v>
      </c>
      <c r="H18" s="42"/>
    </row>
    <row r="19" customFormat="false" ht="15" hidden="false" customHeight="false" outlineLevel="0" collapsed="false">
      <c r="A19" s="41" t="n">
        <v>46254</v>
      </c>
      <c r="B19" s="42" t="s">
        <v>100</v>
      </c>
      <c r="C19" s="42" t="s">
        <v>251</v>
      </c>
      <c r="D19" s="43" t="n">
        <v>1</v>
      </c>
      <c r="E19" s="44"/>
      <c r="F19" s="45" t="n">
        <f aca="false">IF($B19="","",N($D19)*IF(N($E19)&gt;0,$E19,IFERROR(INDEX(Costos!$K$23:$K$300,MATCH($B19,Costos!$A$23:$A$300,0)),0)))</f>
        <v>13000</v>
      </c>
      <c r="G19" s="42" t="s">
        <v>270</v>
      </c>
      <c r="H19" s="42"/>
    </row>
    <row r="20" customFormat="false" ht="15" hidden="false" customHeight="false" outlineLevel="0" collapsed="false">
      <c r="A20" s="41" t="n">
        <v>46254</v>
      </c>
      <c r="B20" s="42" t="s">
        <v>115</v>
      </c>
      <c r="C20" s="42" t="s">
        <v>251</v>
      </c>
      <c r="D20" s="43" t="n">
        <v>1</v>
      </c>
      <c r="E20" s="44"/>
      <c r="F20" s="45" t="n">
        <f aca="false">IF($B20="","",N($D20)*IF(N($E20)&gt;0,$E20,IFERROR(INDEX(Costos!$K$23:$K$300,MATCH($B20,Costos!$A$23:$A$300,0)),0)))</f>
        <v>12000</v>
      </c>
      <c r="G20" s="42" t="s">
        <v>270</v>
      </c>
      <c r="H20" s="42"/>
    </row>
    <row r="21" customFormat="false" ht="15.75" hidden="false" customHeight="true" outlineLevel="0" collapsed="false">
      <c r="A21" s="41" t="n">
        <v>46256</v>
      </c>
      <c r="B21" s="42" t="s">
        <v>60</v>
      </c>
      <c r="C21" s="42" t="s">
        <v>251</v>
      </c>
      <c r="D21" s="43" t="n">
        <v>1</v>
      </c>
      <c r="E21" s="44"/>
      <c r="F21" s="45" t="n">
        <f aca="false">IF($B21="","",N($D21)*IF(N($E21)&gt;0,$E21,IFERROR(INDEX(Costos!$K$23:$K$300,MATCH($B21,Costos!$A$23:$A$300,0)),0)))</f>
        <v>12000</v>
      </c>
      <c r="G21" s="42" t="s">
        <v>271</v>
      </c>
      <c r="H21" s="42"/>
    </row>
    <row r="22" customFormat="false" ht="15.75" hidden="false" customHeight="true" outlineLevel="0" collapsed="false">
      <c r="A22" s="41" t="n">
        <v>46256</v>
      </c>
      <c r="B22" s="42" t="s">
        <v>111</v>
      </c>
      <c r="C22" s="42" t="s">
        <v>251</v>
      </c>
      <c r="D22" s="43" t="n">
        <v>1</v>
      </c>
      <c r="E22" s="44"/>
      <c r="F22" s="45" t="n">
        <f aca="false">IF($B22="","",N($D22)*IF(N($E22)&gt;0,$E22,IFERROR(INDEX(Costos!$K$23:$K$300,MATCH($B22,Costos!$A$23:$A$300,0)),0)))</f>
        <v>11500</v>
      </c>
      <c r="G22" s="42" t="s">
        <v>272</v>
      </c>
      <c r="H22" s="42"/>
    </row>
    <row r="23" customFormat="false" ht="15.75" hidden="false" customHeight="true" outlineLevel="0" collapsed="false">
      <c r="A23" s="41" t="n">
        <v>46256</v>
      </c>
      <c r="B23" s="42" t="s">
        <v>71</v>
      </c>
      <c r="C23" s="42" t="s">
        <v>253</v>
      </c>
      <c r="D23" s="43" t="n">
        <v>1</v>
      </c>
      <c r="E23" s="44"/>
      <c r="F23" s="45" t="n">
        <f aca="false">IF($B23="","",N($D23)*IF(N($E23)&gt;0,$E23,IFERROR(INDEX(Costos!$K$23:$K$300,MATCH($B23,Costos!$A$23:$A$300,0)),0)))</f>
        <v>23000</v>
      </c>
      <c r="G23" s="42" t="s">
        <v>272</v>
      </c>
      <c r="H23" s="42"/>
    </row>
    <row r="24" customFormat="false" ht="15.75" hidden="false" customHeight="true" outlineLevel="0" collapsed="false">
      <c r="A24" s="41" t="n">
        <v>46256</v>
      </c>
      <c r="B24" s="42" t="s">
        <v>113</v>
      </c>
      <c r="C24" s="42" t="s">
        <v>251</v>
      </c>
      <c r="D24" s="43" t="n">
        <v>1</v>
      </c>
      <c r="E24" s="44"/>
      <c r="F24" s="45" t="n">
        <f aca="false">IF($B24="","",N($D24)*IF(N($E24)&gt;0,$E24,IFERROR(INDEX(Costos!$K$23:$K$300,MATCH($B24,Costos!$A$23:$A$300,0)),0)))</f>
        <v>13000</v>
      </c>
      <c r="G24" s="42" t="s">
        <v>273</v>
      </c>
      <c r="H24" s="42"/>
    </row>
    <row r="25" customFormat="false" ht="15.75" hidden="false" customHeight="true" outlineLevel="0" collapsed="false">
      <c r="A25" s="41" t="n">
        <v>46256</v>
      </c>
      <c r="B25" s="42" t="s">
        <v>115</v>
      </c>
      <c r="C25" s="42" t="s">
        <v>251</v>
      </c>
      <c r="D25" s="43" t="n">
        <v>1</v>
      </c>
      <c r="E25" s="44"/>
      <c r="F25" s="45" t="n">
        <f aca="false">IF($B25="","",N($D25)*IF(N($E25)&gt;0,$E25,IFERROR(INDEX(Costos!$K$23:$K$300,MATCH($B25,Costos!$A$23:$A$300,0)),0)))</f>
        <v>12000</v>
      </c>
      <c r="G25" s="42" t="s">
        <v>273</v>
      </c>
      <c r="H25" s="42"/>
    </row>
    <row r="26" customFormat="false" ht="15.75" hidden="false" customHeight="true" outlineLevel="0" collapsed="false">
      <c r="A26" s="41" t="n">
        <v>46256</v>
      </c>
      <c r="B26" s="42" t="s">
        <v>113</v>
      </c>
      <c r="C26" s="42" t="s">
        <v>251</v>
      </c>
      <c r="D26" s="43" t="n">
        <v>1</v>
      </c>
      <c r="E26" s="44" t="n">
        <v>0</v>
      </c>
      <c r="F26" s="45" t="n">
        <f aca="false">IF($B26="","",N($D26)*IF(N($E26)&gt;0,$E26,IFERROR(INDEX(Costos!$K$23:$K$300,MATCH($B26,Costos!$A$23:$A$300,0)),0)))</f>
        <v>13000</v>
      </c>
      <c r="G26" s="42" t="s">
        <v>274</v>
      </c>
      <c r="H26" s="49" t="s">
        <v>275</v>
      </c>
    </row>
    <row r="27" customFormat="false" ht="15.75" hidden="false" customHeight="true" outlineLevel="0" collapsed="false">
      <c r="A27" s="41" t="n">
        <v>46258</v>
      </c>
      <c r="B27" s="42" t="s">
        <v>68</v>
      </c>
      <c r="C27" s="42" t="s">
        <v>254</v>
      </c>
      <c r="D27" s="43" t="n">
        <v>1</v>
      </c>
      <c r="E27" s="44"/>
      <c r="F27" s="45" t="n">
        <f aca="false">IF($B27="","",N($D27)*IF(N($E27)&gt;0,$E27,IFERROR(INDEX(Costos!$K$23:$K$300,MATCH($B27,Costos!$A$23:$A$300,0)),0)))</f>
        <v>16000</v>
      </c>
      <c r="G27" s="42" t="s">
        <v>264</v>
      </c>
      <c r="H27" s="42" t="s">
        <v>276</v>
      </c>
    </row>
    <row r="28" customFormat="false" ht="15.75" hidden="false" customHeight="true" outlineLevel="0" collapsed="false">
      <c r="A28" s="41" t="n">
        <v>46258</v>
      </c>
      <c r="B28" s="42" t="s">
        <v>54</v>
      </c>
      <c r="C28" s="42" t="s">
        <v>251</v>
      </c>
      <c r="D28" s="43" t="n">
        <v>1</v>
      </c>
      <c r="E28" s="44"/>
      <c r="F28" s="45" t="n">
        <f aca="false">IF($B28="","",N($D28)*IF(N($E28)&gt;0,$E28,IFERROR(INDEX(Costos!$K$23:$K$300,MATCH($B28,Costos!$A$23:$A$300,0)),0)))</f>
        <v>8000</v>
      </c>
      <c r="G28" s="42" t="s">
        <v>264</v>
      </c>
      <c r="H28" s="42" t="s">
        <v>276</v>
      </c>
    </row>
    <row r="29" customFormat="false" ht="15.75" hidden="false" customHeight="true" outlineLevel="0" collapsed="false">
      <c r="A29" s="41" t="n">
        <v>46258</v>
      </c>
      <c r="B29" s="42" t="s">
        <v>56</v>
      </c>
      <c r="C29" s="42" t="s">
        <v>251</v>
      </c>
      <c r="D29" s="43" t="n">
        <v>1</v>
      </c>
      <c r="E29" s="44" t="n">
        <v>0</v>
      </c>
      <c r="F29" s="45" t="n">
        <f aca="false">IF($B29="","",N($D29)*IF(N($E29)&gt;0,$E29,IFERROR(INDEX(Costos!$K$23:$K$300,MATCH($B29,Costos!$A$23:$A$300,0)),0)))</f>
        <v>8500</v>
      </c>
      <c r="G29" s="42" t="s">
        <v>277</v>
      </c>
      <c r="H29" s="49" t="s">
        <v>275</v>
      </c>
    </row>
    <row r="30" customFormat="false" ht="15.75" hidden="false" customHeight="true" outlineLevel="0" collapsed="false">
      <c r="A30" s="41" t="n">
        <v>46260</v>
      </c>
      <c r="B30" s="42" t="s">
        <v>124</v>
      </c>
      <c r="C30" s="42" t="s">
        <v>251</v>
      </c>
      <c r="D30" s="43" t="n">
        <v>1</v>
      </c>
      <c r="E30" s="44" t="n">
        <v>0</v>
      </c>
      <c r="F30" s="45" t="n">
        <f aca="false">IF($B30="","",N($D30)*IF(N($E30)&gt;0,$E30,IFERROR(INDEX(Costos!$K$23:$K$300,MATCH($B30,Costos!$A$23:$A$300,0)),0)))</f>
        <v>7000</v>
      </c>
      <c r="G30" s="42" t="s">
        <v>278</v>
      </c>
      <c r="H30" s="49" t="s">
        <v>275</v>
      </c>
    </row>
    <row r="31" customFormat="false" ht="15.75" hidden="false" customHeight="true" outlineLevel="0" collapsed="false">
      <c r="A31" s="41" t="n">
        <v>46260</v>
      </c>
      <c r="B31" s="42" t="s">
        <v>117</v>
      </c>
      <c r="C31" s="42" t="s">
        <v>251</v>
      </c>
      <c r="D31" s="43" t="n">
        <v>1</v>
      </c>
      <c r="E31" s="44"/>
      <c r="F31" s="45" t="n">
        <f aca="false">IF($B31="","",N($D31)*IF(N($E31)&gt;0,$E31,IFERROR(INDEX(Costos!$K$23:$K$300,MATCH($B31,Costos!$A$23:$A$300,0)),0)))</f>
        <v>12000</v>
      </c>
      <c r="G31" s="42" t="s">
        <v>279</v>
      </c>
      <c r="H31" s="42"/>
    </row>
    <row r="32" customFormat="false" ht="15.75" hidden="false" customHeight="true" outlineLevel="0" collapsed="false">
      <c r="A32" s="41" t="n">
        <v>46260</v>
      </c>
      <c r="B32" s="42" t="s">
        <v>127</v>
      </c>
      <c r="C32" s="42" t="s">
        <v>251</v>
      </c>
      <c r="D32" s="43" t="n">
        <v>1</v>
      </c>
      <c r="E32" s="44"/>
      <c r="F32" s="45" t="n">
        <f aca="false">IF($B32="","",N($D32)*IF(N($E32)&gt;0,$E32,IFERROR(INDEX(Costos!$K$23:$K$300,MATCH($B32,Costos!$A$23:$A$300,0)),0)))</f>
        <v>25000</v>
      </c>
      <c r="G32" s="42" t="s">
        <v>279</v>
      </c>
      <c r="H32" s="42"/>
    </row>
    <row r="33" customFormat="false" ht="15.75" hidden="false" customHeight="true" outlineLevel="0" collapsed="false">
      <c r="A33" s="41" t="n">
        <v>46260</v>
      </c>
      <c r="B33" s="42" t="s">
        <v>133</v>
      </c>
      <c r="C33" s="42" t="s">
        <v>251</v>
      </c>
      <c r="D33" s="43" t="n">
        <v>1</v>
      </c>
      <c r="E33" s="44"/>
      <c r="F33" s="45" t="n">
        <f aca="false">IF($B33="","",N($D33)*IF(N($E33)&gt;0,$E33,IFERROR(INDEX(Costos!$K$23:$K$300,MATCH($B33,Costos!$A$23:$A$300,0)),0)))</f>
        <v>30000</v>
      </c>
      <c r="G33" s="42" t="s">
        <v>280</v>
      </c>
      <c r="H33" s="42"/>
    </row>
    <row r="34" customFormat="false" ht="15.75" hidden="false" customHeight="true" outlineLevel="0" collapsed="false">
      <c r="A34" s="41" t="n">
        <v>46260</v>
      </c>
      <c r="B34" s="42" t="s">
        <v>137</v>
      </c>
      <c r="C34" s="42" t="s">
        <v>251</v>
      </c>
      <c r="D34" s="43" t="n">
        <v>1</v>
      </c>
      <c r="E34" s="44"/>
      <c r="F34" s="45" t="n">
        <f aca="false">IF($B34="","",N($D34)*IF(N($E34)&gt;0,$E34,IFERROR(INDEX(Costos!$K$23:$K$300,MATCH($B34,Costos!$A$23:$A$300,0)),0)))</f>
        <v>28000</v>
      </c>
      <c r="G34" s="42" t="s">
        <v>281</v>
      </c>
      <c r="H34" s="42"/>
    </row>
    <row r="35" customFormat="false" ht="15.75" hidden="false" customHeight="true" outlineLevel="0" collapsed="false">
      <c r="A35" s="41" t="n">
        <v>46261</v>
      </c>
      <c r="B35" s="42" t="s">
        <v>125</v>
      </c>
      <c r="C35" s="42" t="s">
        <v>251</v>
      </c>
      <c r="D35" s="43" t="n">
        <v>1</v>
      </c>
      <c r="E35" s="44"/>
      <c r="F35" s="45" t="n">
        <f aca="false">IF($B35="","",N($D35)*IF(N($E35)&gt;0,$E35,IFERROR(INDEX(Costos!$K$23:$K$300,MATCH($B35,Costos!$A$23:$A$300,0)),0)))</f>
        <v>23500</v>
      </c>
      <c r="G35" s="42" t="s">
        <v>268</v>
      </c>
      <c r="H35" s="42"/>
    </row>
    <row r="36" customFormat="false" ht="15.75" hidden="false" customHeight="true" outlineLevel="0" collapsed="false">
      <c r="A36" s="41" t="n">
        <v>46261</v>
      </c>
      <c r="B36" s="42" t="s">
        <v>135</v>
      </c>
      <c r="C36" s="42" t="s">
        <v>251</v>
      </c>
      <c r="D36" s="43" t="n">
        <v>1</v>
      </c>
      <c r="E36" s="44"/>
      <c r="F36" s="45" t="n">
        <f aca="false">IF($B36="","",N($D36)*IF(N($E36)&gt;0,$E36,IFERROR(INDEX(Costos!$K$23:$K$300,MATCH($B36,Costos!$A$23:$A$300,0)),0)))</f>
        <v>31000</v>
      </c>
      <c r="G36" s="42" t="s">
        <v>282</v>
      </c>
      <c r="H36" s="42"/>
    </row>
    <row r="37" customFormat="false" ht="15.75" hidden="false" customHeight="true" outlineLevel="0" collapsed="false">
      <c r="A37" s="41" t="n">
        <v>46261</v>
      </c>
      <c r="B37" s="42" t="s">
        <v>82</v>
      </c>
      <c r="C37" s="42" t="s">
        <v>251</v>
      </c>
      <c r="D37" s="43" t="n">
        <v>1</v>
      </c>
      <c r="E37" s="44"/>
      <c r="F37" s="45" t="n">
        <f aca="false">IF($B37="","",N($D37)*IF(N($E37)&gt;0,$E37,IFERROR(INDEX(Costos!$K$23:$K$300,MATCH($B37,Costos!$A$23:$A$300,0)),0)))</f>
        <v>6500</v>
      </c>
      <c r="G37" s="42" t="s">
        <v>282</v>
      </c>
      <c r="H37" s="42"/>
    </row>
    <row r="38" customFormat="false" ht="15.75" hidden="false" customHeight="true" outlineLevel="0" collapsed="false">
      <c r="A38" s="41" t="n">
        <v>46261</v>
      </c>
      <c r="B38" s="42" t="s">
        <v>131</v>
      </c>
      <c r="C38" s="42" t="s">
        <v>253</v>
      </c>
      <c r="D38" s="43" t="n">
        <v>1</v>
      </c>
      <c r="E38" s="44"/>
      <c r="F38" s="45" t="n">
        <f aca="false">IF($B38="","",N($D38)*IF(N($E38)&gt;0,$E38,IFERROR(INDEX(Costos!$K$23:$K$300,MATCH($B38,Costos!$A$23:$A$300,0)),0)))</f>
        <v>20000</v>
      </c>
      <c r="G38" s="42" t="s">
        <v>283</v>
      </c>
      <c r="H38" s="42"/>
    </row>
    <row r="39" customFormat="false" ht="15.75" hidden="false" customHeight="true" outlineLevel="0" collapsed="false">
      <c r="A39" s="41" t="n">
        <v>46261</v>
      </c>
      <c r="B39" s="42" t="s">
        <v>104</v>
      </c>
      <c r="C39" s="42" t="s">
        <v>251</v>
      </c>
      <c r="D39" s="43" t="n">
        <v>1</v>
      </c>
      <c r="E39" s="44"/>
      <c r="F39" s="45" t="n">
        <f aca="false">IF($B39="","",N($D39)*IF(N($E39)&gt;0,$E39,IFERROR(INDEX(Costos!$K$23:$K$300,MATCH($B39,Costos!$A$23:$A$300,0)),0)))</f>
        <v>11500</v>
      </c>
      <c r="G39" s="42" t="s">
        <v>283</v>
      </c>
      <c r="H39" s="42"/>
    </row>
    <row r="40" customFormat="false" ht="15.75" hidden="false" customHeight="true" outlineLevel="0" collapsed="false">
      <c r="A40" s="41" t="n">
        <v>46261</v>
      </c>
      <c r="B40" s="42" t="s">
        <v>117</v>
      </c>
      <c r="C40" s="42" t="s">
        <v>251</v>
      </c>
      <c r="D40" s="43" t="n">
        <v>1</v>
      </c>
      <c r="E40" s="44"/>
      <c r="F40" s="45" t="n">
        <f aca="false">IF($B40="","",N($D40)*IF(N($E40)&gt;0,$E40,IFERROR(INDEX(Costos!$K$23:$K$300,MATCH($B40,Costos!$A$23:$A$300,0)),0)))</f>
        <v>12000</v>
      </c>
      <c r="G40" s="42" t="s">
        <v>284</v>
      </c>
      <c r="H40" s="42"/>
    </row>
    <row r="41" customFormat="false" ht="15.75" hidden="false" customHeight="true" outlineLevel="0" collapsed="false">
      <c r="A41" s="41" t="n">
        <v>46261</v>
      </c>
      <c r="B41" s="42" t="s">
        <v>131</v>
      </c>
      <c r="C41" s="42" t="s">
        <v>253</v>
      </c>
      <c r="D41" s="43" t="n">
        <v>1</v>
      </c>
      <c r="E41" s="44"/>
      <c r="F41" s="45" t="n">
        <f aca="false">IF($B41="","",N($D41)*IF(N($E41)&gt;0,$E41,IFERROR(INDEX(Costos!$K$23:$K$300,MATCH($B41,Costos!$A$23:$A$300,0)),0)))</f>
        <v>20000</v>
      </c>
      <c r="G41" s="42" t="s">
        <v>284</v>
      </c>
      <c r="H41" s="42"/>
    </row>
    <row r="42" customFormat="false" ht="15.75" hidden="false" customHeight="true" outlineLevel="0" collapsed="false">
      <c r="A42" s="41" t="n">
        <v>46261</v>
      </c>
      <c r="B42" s="42" t="s">
        <v>166</v>
      </c>
      <c r="C42" s="42" t="s">
        <v>255</v>
      </c>
      <c r="D42" s="43" t="n">
        <v>1</v>
      </c>
      <c r="E42" s="44"/>
      <c r="F42" s="45" t="n">
        <f aca="false">IF($B42="","",N($D42)*IF(N($E42)&gt;0,$E42,IFERROR(INDEX(Costos!$K$23:$K$300,MATCH($B42,Costos!$A$23:$A$300,0)),0)))</f>
        <v>22500</v>
      </c>
      <c r="G42" s="42" t="s">
        <v>284</v>
      </c>
      <c r="H42" s="42"/>
    </row>
    <row r="43" customFormat="false" ht="15.75" hidden="false" customHeight="true" outlineLevel="0" collapsed="false">
      <c r="A43" s="41" t="n">
        <v>46261</v>
      </c>
      <c r="B43" s="42" t="s">
        <v>87</v>
      </c>
      <c r="C43" s="42" t="s">
        <v>251</v>
      </c>
      <c r="D43" s="43" t="n">
        <v>1</v>
      </c>
      <c r="E43" s="44"/>
      <c r="F43" s="45" t="n">
        <f aca="false">IF($B43="","",N($D43)*IF(N($E43)&gt;0,$E43,IFERROR(INDEX(Costos!$K$23:$K$300,MATCH($B43,Costos!$A$23:$A$300,0)),0)))</f>
        <v>6500</v>
      </c>
      <c r="G43" s="42" t="s">
        <v>284</v>
      </c>
      <c r="H43" s="42"/>
    </row>
    <row r="44" customFormat="false" ht="15.75" hidden="false" customHeight="true" outlineLevel="0" collapsed="false">
      <c r="A44" s="41" t="n">
        <v>46261</v>
      </c>
      <c r="B44" s="42" t="s">
        <v>94</v>
      </c>
      <c r="C44" s="42" t="s">
        <v>251</v>
      </c>
      <c r="D44" s="43" t="n">
        <v>1</v>
      </c>
      <c r="E44" s="44"/>
      <c r="F44" s="45" t="n">
        <f aca="false">IF($B44="","",N($D44)*IF(N($E44)&gt;0,$E44,IFERROR(INDEX(Costos!$K$23:$K$300,MATCH($B44,Costos!$A$23:$A$300,0)),0)))</f>
        <v>13000</v>
      </c>
      <c r="G44" s="42" t="s">
        <v>285</v>
      </c>
      <c r="H44" s="42"/>
    </row>
    <row r="45" customFormat="false" ht="15.75" hidden="false" customHeight="true" outlineLevel="0" collapsed="false">
      <c r="A45" s="41" t="n">
        <v>46261</v>
      </c>
      <c r="B45" s="42" t="s">
        <v>107</v>
      </c>
      <c r="C45" s="42" t="s">
        <v>251</v>
      </c>
      <c r="D45" s="43" t="n">
        <v>1</v>
      </c>
      <c r="E45" s="44"/>
      <c r="F45" s="45" t="n">
        <f aca="false">IF($B45="","",N($D45)*IF(N($E45)&gt;0,$E45,IFERROR(INDEX(Costos!$K$23:$K$300,MATCH($B45,Costos!$A$23:$A$300,0)),0)))</f>
        <v>11500</v>
      </c>
      <c r="G45" s="42" t="s">
        <v>285</v>
      </c>
      <c r="H45" s="42"/>
    </row>
    <row r="46" customFormat="false" ht="15.75" hidden="false" customHeight="true" outlineLevel="0" collapsed="false">
      <c r="A46" s="41" t="n">
        <v>46261</v>
      </c>
      <c r="B46" s="42" t="s">
        <v>122</v>
      </c>
      <c r="C46" s="42" t="s">
        <v>251</v>
      </c>
      <c r="D46" s="43" t="n">
        <v>1</v>
      </c>
      <c r="E46" s="44"/>
      <c r="F46" s="45" t="n">
        <f aca="false">IF($B46="","",N($D46)*IF(N($E46)&gt;0,$E46,IFERROR(INDEX(Costos!$K$23:$K$300,MATCH($B46,Costos!$A$23:$A$300,0)),0)))</f>
        <v>27000</v>
      </c>
      <c r="G46" s="42" t="s">
        <v>285</v>
      </c>
      <c r="H46" s="42"/>
    </row>
    <row r="47" customFormat="false" ht="15.75" hidden="false" customHeight="true" outlineLevel="0" collapsed="false">
      <c r="A47" s="41" t="n">
        <v>46261</v>
      </c>
      <c r="B47" s="42" t="s">
        <v>100</v>
      </c>
      <c r="C47" s="42" t="s">
        <v>251</v>
      </c>
      <c r="D47" s="43" t="n">
        <v>1</v>
      </c>
      <c r="E47" s="44"/>
      <c r="F47" s="45" t="n">
        <f aca="false">IF($B47="","",N($D47)*IF(N($E47)&gt;0,$E47,IFERROR(INDEX(Costos!$K$23:$K$300,MATCH($B47,Costos!$A$23:$A$300,0)),0)))</f>
        <v>13000</v>
      </c>
      <c r="G47" s="42" t="s">
        <v>286</v>
      </c>
      <c r="H47" s="42"/>
    </row>
    <row r="48" customFormat="false" ht="15.75" hidden="false" customHeight="true" outlineLevel="0" collapsed="false">
      <c r="A48" s="41" t="n">
        <v>46261</v>
      </c>
      <c r="B48" s="42" t="s">
        <v>88</v>
      </c>
      <c r="C48" s="42" t="s">
        <v>251</v>
      </c>
      <c r="D48" s="43" t="n">
        <v>1</v>
      </c>
      <c r="E48" s="44"/>
      <c r="F48" s="45" t="n">
        <f aca="false">IF($B48="","",N($D48)*IF(N($E48)&gt;0,$E48,IFERROR(INDEX(Costos!$K$23:$K$300,MATCH($B48,Costos!$A$23:$A$300,0)),0)))</f>
        <v>6500</v>
      </c>
      <c r="G48" s="42" t="s">
        <v>287</v>
      </c>
      <c r="H48" s="42"/>
    </row>
    <row r="49" customFormat="false" ht="15.75" hidden="false" customHeight="true" outlineLevel="0" collapsed="false">
      <c r="A49" s="41" t="n">
        <v>46261</v>
      </c>
      <c r="B49" s="42" t="s">
        <v>107</v>
      </c>
      <c r="C49" s="42" t="s">
        <v>251</v>
      </c>
      <c r="D49" s="43" t="n">
        <v>1</v>
      </c>
      <c r="E49" s="44"/>
      <c r="F49" s="45" t="n">
        <f aca="false">IF($B49="","",N($D49)*IF(N($E49)&gt;0,$E49,IFERROR(INDEX(Costos!$K$23:$K$300,MATCH($B49,Costos!$A$23:$A$300,0)),0)))</f>
        <v>11500</v>
      </c>
      <c r="G49" s="42" t="s">
        <v>288</v>
      </c>
      <c r="H49" s="42"/>
    </row>
    <row r="50" customFormat="false" ht="15.75" hidden="false" customHeight="true" outlineLevel="0" collapsed="false">
      <c r="A50" s="41" t="n">
        <v>46261</v>
      </c>
      <c r="B50" s="42" t="s">
        <v>80</v>
      </c>
      <c r="C50" s="42" t="s">
        <v>251</v>
      </c>
      <c r="D50" s="43" t="n">
        <v>1</v>
      </c>
      <c r="E50" s="44"/>
      <c r="F50" s="45" t="n">
        <f aca="false">IF($B50="","",N($D50)*IF(N($E50)&gt;0,$E50,IFERROR(INDEX(Costos!$K$23:$K$300,MATCH($B50,Costos!$A$23:$A$300,0)),0)))</f>
        <v>7000</v>
      </c>
      <c r="G50" s="42" t="s">
        <v>289</v>
      </c>
      <c r="H50" s="42"/>
    </row>
    <row r="51" customFormat="false" ht="15.75" hidden="false" customHeight="true" outlineLevel="0" collapsed="false">
      <c r="A51" s="41" t="n">
        <v>46261</v>
      </c>
      <c r="B51" s="42" t="s">
        <v>64</v>
      </c>
      <c r="C51" s="42" t="s">
        <v>251</v>
      </c>
      <c r="D51" s="43" t="n">
        <v>1</v>
      </c>
      <c r="E51" s="44"/>
      <c r="F51" s="45" t="n">
        <f aca="false">IF($B51="","",N($D51)*IF(N($E51)&gt;0,$E51,IFERROR(INDEX(Costos!$K$23:$K$300,MATCH($B51,Costos!$A$23:$A$300,0)),0)))</f>
        <v>12500</v>
      </c>
      <c r="G51" s="42"/>
      <c r="H51" s="49" t="s">
        <v>275</v>
      </c>
    </row>
    <row r="52" customFormat="false" ht="15.75" hidden="false" customHeight="true" outlineLevel="0" collapsed="false">
      <c r="A52" s="46" t="n">
        <v>46263</v>
      </c>
      <c r="B52" s="42" t="s">
        <v>86</v>
      </c>
      <c r="C52" s="42" t="s">
        <v>251</v>
      </c>
      <c r="D52" s="43" t="n">
        <v>1</v>
      </c>
      <c r="E52" s="44"/>
      <c r="F52" s="45" t="n">
        <f aca="false">IF($B52="","",N($D52)*IF(N($E52)&gt;0,$E52,IFERROR(INDEX(Costos!$K$23:$K$300,MATCH($B52,Costos!$A$23:$A$300,0)),0)))</f>
        <v>7000</v>
      </c>
      <c r="G52" s="42" t="s">
        <v>290</v>
      </c>
      <c r="H52" s="42"/>
    </row>
    <row r="53" customFormat="false" ht="15.75" hidden="false" customHeight="true" outlineLevel="0" collapsed="false">
      <c r="A53" s="41" t="n">
        <v>46263</v>
      </c>
      <c r="B53" s="42" t="s">
        <v>102</v>
      </c>
      <c r="C53" s="42" t="s">
        <v>251</v>
      </c>
      <c r="D53" s="43" t="n">
        <v>1</v>
      </c>
      <c r="E53" s="44"/>
      <c r="F53" s="45" t="n">
        <f aca="false">IF($B53="","",N($D53)*IF(N($E53)&gt;0,$E53,IFERROR(INDEX(Costos!$K$23:$K$300,MATCH($B53,Costos!$A$23:$A$300,0)),0)))</f>
        <v>12000</v>
      </c>
      <c r="G53" s="42" t="s">
        <v>291</v>
      </c>
      <c r="H53" s="42"/>
    </row>
    <row r="54" customFormat="false" ht="15.75" hidden="false" customHeight="true" outlineLevel="0" collapsed="false">
      <c r="A54" s="41" t="n">
        <v>46263</v>
      </c>
      <c r="B54" s="42" t="s">
        <v>129</v>
      </c>
      <c r="C54" s="42" t="s">
        <v>251</v>
      </c>
      <c r="D54" s="43" t="n">
        <v>1</v>
      </c>
      <c r="E54" s="44"/>
      <c r="F54" s="45" t="n">
        <f aca="false">IF($B54="","",N($D54)*IF(N($E54)&gt;0,$E54,IFERROR(INDEX(Costos!$K$23:$K$300,MATCH($B54,Costos!$A$23:$A$300,0)),0)))</f>
        <v>25500</v>
      </c>
      <c r="G54" s="42" t="s">
        <v>291</v>
      </c>
      <c r="H54" s="42"/>
    </row>
    <row r="55" customFormat="false" ht="15.75" hidden="false" customHeight="true" outlineLevel="0" collapsed="false">
      <c r="A55" s="41" t="n">
        <v>46263</v>
      </c>
      <c r="B55" s="42" t="s">
        <v>66</v>
      </c>
      <c r="C55" s="42" t="s">
        <v>251</v>
      </c>
      <c r="D55" s="43" t="n">
        <v>1</v>
      </c>
      <c r="E55" s="44"/>
      <c r="F55" s="45" t="n">
        <f aca="false">IF($B55="","",N($D55)*IF(N($E55)&gt;0,$E55,IFERROR(INDEX(Costos!$K$23:$K$300,MATCH($B55,Costos!$A$23:$A$300,0)),0)))</f>
        <v>25000</v>
      </c>
      <c r="G55" s="42" t="s">
        <v>291</v>
      </c>
      <c r="H55" s="42"/>
    </row>
    <row r="56" customFormat="false" ht="15.75" hidden="false" customHeight="true" outlineLevel="0" collapsed="false">
      <c r="A56" s="41" t="n">
        <v>46263</v>
      </c>
      <c r="B56" s="42" t="s">
        <v>120</v>
      </c>
      <c r="C56" s="42" t="s">
        <v>251</v>
      </c>
      <c r="D56" s="43" t="n">
        <v>1</v>
      </c>
      <c r="E56" s="44"/>
      <c r="F56" s="45" t="n">
        <f aca="false">IF($B56="","",N($D56)*IF(N($E56)&gt;0,$E56,IFERROR(INDEX(Costos!$K$23:$K$300,MATCH($B56,Costos!$A$23:$A$300,0)),0)))</f>
        <v>25000</v>
      </c>
      <c r="G56" s="42" t="s">
        <v>292</v>
      </c>
      <c r="H56" s="42"/>
    </row>
    <row r="57" customFormat="false" ht="15.75" hidden="false" customHeight="true" outlineLevel="0" collapsed="false">
      <c r="A57" s="41" t="n">
        <v>46266</v>
      </c>
      <c r="B57" s="42" t="s">
        <v>99</v>
      </c>
      <c r="C57" s="42" t="s">
        <v>251</v>
      </c>
      <c r="D57" s="43" t="n">
        <v>1</v>
      </c>
      <c r="E57" s="44"/>
      <c r="F57" s="45" t="n">
        <f aca="false">IF($B57="","",N($D57)*IF(N($E57)&gt;0,$E57,IFERROR(INDEX(Costos!$K$23:$K$300,MATCH($B57,Costos!$A$23:$A$300,0)),0)))</f>
        <v>11500</v>
      </c>
      <c r="G57" s="42" t="s">
        <v>293</v>
      </c>
      <c r="H57" s="42"/>
    </row>
    <row r="58" customFormat="false" ht="15.75" hidden="false" customHeight="true" outlineLevel="0" collapsed="false">
      <c r="A58" s="41" t="n">
        <v>46267</v>
      </c>
      <c r="B58" s="42" t="s">
        <v>68</v>
      </c>
      <c r="C58" s="42" t="s">
        <v>253</v>
      </c>
      <c r="D58" s="43" t="n">
        <v>1</v>
      </c>
      <c r="E58" s="44"/>
      <c r="F58" s="45" t="n">
        <f aca="false">IF($B58="","",N($D58)*IF(N($E58)&gt;0,$E58,IFERROR(INDEX(Costos!$K$23:$K$300,MATCH($B58,Costos!$A$23:$A$300,0)),0)))</f>
        <v>16000</v>
      </c>
      <c r="G58" s="42" t="s">
        <v>294</v>
      </c>
      <c r="H58" s="42"/>
    </row>
    <row r="59" customFormat="false" ht="15.75" hidden="false" customHeight="true" outlineLevel="0" collapsed="false">
      <c r="A59" s="41" t="n">
        <v>46267</v>
      </c>
      <c r="B59" s="42" t="s">
        <v>160</v>
      </c>
      <c r="C59" s="42" t="s">
        <v>251</v>
      </c>
      <c r="D59" s="43" t="n">
        <v>1</v>
      </c>
      <c r="E59" s="44"/>
      <c r="F59" s="45" t="n">
        <f aca="false">IF($B59="","",N($D59)*IF(N($E59)&gt;0,$E59,IFERROR(INDEX(Costos!$K$23:$K$300,MATCH($B59,Costos!$A$23:$A$300,0)),0)))</f>
        <v>15000</v>
      </c>
      <c r="G59" s="42" t="s">
        <v>295</v>
      </c>
      <c r="H59" s="42"/>
    </row>
    <row r="60" customFormat="false" ht="15.75" hidden="false" customHeight="true" outlineLevel="0" collapsed="false">
      <c r="A60" s="41" t="n">
        <v>46267</v>
      </c>
      <c r="B60" s="42" t="s">
        <v>152</v>
      </c>
      <c r="C60" s="42" t="s">
        <v>251</v>
      </c>
      <c r="D60" s="43" t="n">
        <v>1</v>
      </c>
      <c r="E60" s="44"/>
      <c r="F60" s="45" t="n">
        <f aca="false">IF($B60="","",N($D60)*IF(N($E60)&gt;0,$E60,IFERROR(INDEX(Costos!$K$23:$K$300,MATCH($B60,Costos!$A$23:$A$300,0)),0)))</f>
        <v>16500</v>
      </c>
      <c r="G60" s="42" t="s">
        <v>295</v>
      </c>
      <c r="H60" s="42"/>
    </row>
    <row r="61" customFormat="false" ht="15.75" hidden="false" customHeight="true" outlineLevel="0" collapsed="false">
      <c r="A61" s="41" t="n">
        <v>46267</v>
      </c>
      <c r="B61" s="42" t="s">
        <v>162</v>
      </c>
      <c r="C61" s="42" t="s">
        <v>251</v>
      </c>
      <c r="D61" s="43" t="n">
        <v>1</v>
      </c>
      <c r="E61" s="44"/>
      <c r="F61" s="45" t="n">
        <f aca="false">IF($B61="","",N($D61)*IF(N($E61)&gt;0,$E61,IFERROR(INDEX(Costos!$K$23:$K$300,MATCH($B61,Costos!$A$23:$A$300,0)),0)))</f>
        <v>9000</v>
      </c>
      <c r="G61" s="42" t="s">
        <v>296</v>
      </c>
      <c r="H61" s="42"/>
    </row>
    <row r="62" customFormat="false" ht="15.75" hidden="false" customHeight="true" outlineLevel="0" collapsed="false">
      <c r="A62" s="41" t="n">
        <v>46267</v>
      </c>
      <c r="B62" s="42" t="s">
        <v>156</v>
      </c>
      <c r="C62" s="42" t="s">
        <v>251</v>
      </c>
      <c r="D62" s="43" t="n">
        <v>1</v>
      </c>
      <c r="E62" s="44"/>
      <c r="F62" s="45" t="n">
        <f aca="false">IF($B62="","",N($D62)*IF(N($E62)&gt;0,$E62,IFERROR(INDEX(Costos!$K$23:$K$300,MATCH($B62,Costos!$A$23:$A$300,0)),0)))</f>
        <v>15000</v>
      </c>
      <c r="G62" s="42" t="s">
        <v>297</v>
      </c>
      <c r="H62" s="42"/>
    </row>
    <row r="63" customFormat="false" ht="15.75" hidden="false" customHeight="true" outlineLevel="0" collapsed="false">
      <c r="A63" s="41" t="n">
        <v>46267</v>
      </c>
      <c r="B63" s="42" t="s">
        <v>154</v>
      </c>
      <c r="C63" s="42" t="s">
        <v>251</v>
      </c>
      <c r="D63" s="43" t="n">
        <v>1</v>
      </c>
      <c r="E63" s="44"/>
      <c r="F63" s="45" t="n">
        <f aca="false">IF($B63="","",N($D63)*IF(N($E63)&gt;0,$E63,IFERROR(INDEX(Costos!$K$23:$K$300,MATCH($B63,Costos!$A$23:$A$300,0)),0)))</f>
        <v>15000</v>
      </c>
      <c r="G63" s="42" t="s">
        <v>298</v>
      </c>
      <c r="H63" s="42"/>
    </row>
    <row r="64" customFormat="false" ht="15.75" hidden="false" customHeight="true" outlineLevel="0" collapsed="false">
      <c r="A64" s="41" t="n">
        <v>46267</v>
      </c>
      <c r="B64" s="42" t="s">
        <v>143</v>
      </c>
      <c r="C64" s="42" t="s">
        <v>251</v>
      </c>
      <c r="D64" s="43" t="n">
        <v>1</v>
      </c>
      <c r="E64" s="44"/>
      <c r="F64" s="45" t="n">
        <f aca="false">IF($B64="","",N($D64)*IF(N($E64)&gt;0,$E64,IFERROR(INDEX(Costos!$K$23:$K$300,MATCH($B64,Costos!$A$23:$A$300,0)),0)))</f>
        <v>13000</v>
      </c>
      <c r="G64" s="42" t="s">
        <v>297</v>
      </c>
      <c r="H64" s="42"/>
    </row>
    <row r="65" customFormat="false" ht="15.75" hidden="false" customHeight="true" outlineLevel="0" collapsed="false">
      <c r="A65" s="41" t="n">
        <v>46267</v>
      </c>
      <c r="B65" s="42" t="s">
        <v>145</v>
      </c>
      <c r="C65" s="42" t="s">
        <v>251</v>
      </c>
      <c r="D65" s="43" t="n">
        <v>1</v>
      </c>
      <c r="E65" s="44"/>
      <c r="F65" s="45" t="n">
        <f aca="false">IF($B65="","",N($D65)*IF(N($E65)&gt;0,$E65,IFERROR(INDEX(Costos!$K$23:$K$300,MATCH($B65,Costos!$A$23:$A$300,0)),0)))</f>
        <v>13000</v>
      </c>
      <c r="G65" s="42" t="s">
        <v>297</v>
      </c>
      <c r="H65" s="42"/>
    </row>
    <row r="66" customFormat="false" ht="15.75" hidden="false" customHeight="true" outlineLevel="0" collapsed="false">
      <c r="A66" s="41" t="n">
        <v>46273</v>
      </c>
      <c r="B66" s="42" t="s">
        <v>120</v>
      </c>
      <c r="C66" s="42" t="s">
        <v>251</v>
      </c>
      <c r="D66" s="43" t="n">
        <v>1</v>
      </c>
      <c r="E66" s="44"/>
      <c r="F66" s="45" t="n">
        <f aca="false">IF($B66="","",N($D66)*IF(N($E66)&gt;0,$E66,IFERROR(INDEX(Costos!$K$23:$K$300,MATCH($B66,Costos!$A$23:$A$300,0)),0)))</f>
        <v>25000</v>
      </c>
      <c r="G66" s="42" t="s">
        <v>296</v>
      </c>
      <c r="H66" s="42"/>
    </row>
    <row r="67" customFormat="false" ht="15.75" hidden="false" customHeight="true" outlineLevel="0" collapsed="false">
      <c r="A67" s="41" t="n">
        <v>46274</v>
      </c>
      <c r="B67" s="42" t="s">
        <v>58</v>
      </c>
      <c r="C67" s="42" t="s">
        <v>251</v>
      </c>
      <c r="D67" s="43" t="n">
        <v>1</v>
      </c>
      <c r="E67" s="44"/>
      <c r="F67" s="45" t="n">
        <f aca="false">IF($B67="","",N($D67)*IF(N($E67)&gt;0,$E67,IFERROR(INDEX(Costos!$K$23:$K$300,MATCH($B67,Costos!$A$23:$A$300,0)),0)))</f>
        <v>9000</v>
      </c>
      <c r="G67" s="42" t="s">
        <v>299</v>
      </c>
      <c r="H67" s="42"/>
    </row>
    <row r="68" customFormat="false" ht="15.75" hidden="false" customHeight="true" outlineLevel="0" collapsed="false">
      <c r="A68" s="41" t="n">
        <v>46276</v>
      </c>
      <c r="B68" s="42" t="s">
        <v>131</v>
      </c>
      <c r="C68" s="42" t="s">
        <v>253</v>
      </c>
      <c r="D68" s="43" t="n">
        <v>1</v>
      </c>
      <c r="E68" s="44"/>
      <c r="F68" s="45" t="n">
        <f aca="false">IF($B68="","",N($D68)*IF(N($E68)&gt;0,$E68,IFERROR(INDEX(Costos!$K$23:$K$300,MATCH($B68,Costos!$A$23:$A$300,0)),0)))</f>
        <v>20000</v>
      </c>
      <c r="G68" s="42" t="s">
        <v>300</v>
      </c>
      <c r="H68" s="53" t="s">
        <v>301</v>
      </c>
    </row>
    <row r="69" customFormat="false" ht="15.75" hidden="false" customHeight="true" outlineLevel="0" collapsed="false">
      <c r="A69" s="41" t="n">
        <v>46276</v>
      </c>
      <c r="B69" s="42" t="s">
        <v>131</v>
      </c>
      <c r="C69" s="42" t="s">
        <v>253</v>
      </c>
      <c r="D69" s="43" t="n">
        <v>1</v>
      </c>
      <c r="E69" s="44"/>
      <c r="F69" s="45" t="n">
        <f aca="false">IF($B69="","",N($D69)*IF(N($E69)&gt;0,$E69,IFERROR(INDEX(Costos!$K$23:$K$300,MATCH($B69,Costos!$A$23:$A$300,0)),0)))</f>
        <v>20000</v>
      </c>
      <c r="G69" s="42" t="s">
        <v>302</v>
      </c>
      <c r="H69" s="42"/>
    </row>
    <row r="70" customFormat="false" ht="15.75" hidden="false" customHeight="true" outlineLevel="0" collapsed="false">
      <c r="A70" s="41" t="n">
        <v>46276</v>
      </c>
      <c r="B70" s="42" t="s">
        <v>160</v>
      </c>
      <c r="C70" s="42" t="s">
        <v>251</v>
      </c>
      <c r="D70" s="43" t="n">
        <v>1</v>
      </c>
      <c r="E70" s="44"/>
      <c r="F70" s="45" t="n">
        <f aca="false">IF($B70="","",N($D70)*IF(N($E70)&gt;0,$E70,IFERROR(INDEX(Costos!$K$23:$K$300,MATCH($B70,Costos!$A$23:$A$300,0)),0)))</f>
        <v>15000</v>
      </c>
      <c r="G70" s="42" t="s">
        <v>303</v>
      </c>
      <c r="H70" s="42"/>
    </row>
    <row r="71" customFormat="false" ht="15.75" hidden="false" customHeight="true" outlineLevel="0" collapsed="false">
      <c r="A71" s="41" t="n">
        <v>46276</v>
      </c>
      <c r="B71" s="42" t="s">
        <v>84</v>
      </c>
      <c r="C71" s="42" t="s">
        <v>251</v>
      </c>
      <c r="D71" s="43" t="n">
        <v>1</v>
      </c>
      <c r="E71" s="44"/>
      <c r="F71" s="45" t="n">
        <f aca="false">IF($B71="","",N($D71)*IF(N($E71)&gt;0,$E71,IFERROR(INDEX(Costos!$K$23:$K$300,MATCH($B71,Costos!$A$23:$A$300,0)),0)))</f>
        <v>6500</v>
      </c>
      <c r="G71" s="42" t="s">
        <v>303</v>
      </c>
      <c r="H71" s="42"/>
    </row>
    <row r="72" customFormat="false" ht="15.75" hidden="false" customHeight="true" outlineLevel="0" collapsed="false">
      <c r="A72" s="41" t="n">
        <v>46276</v>
      </c>
      <c r="B72" s="42" t="s">
        <v>90</v>
      </c>
      <c r="C72" s="42" t="s">
        <v>251</v>
      </c>
      <c r="D72" s="43" t="n">
        <v>1</v>
      </c>
      <c r="E72" s="44"/>
      <c r="F72" s="45" t="n">
        <f aca="false">IF($B72="","",N($D72)*IF(N($E72)&gt;0,$E72,IFERROR(INDEX(Costos!$K$23:$K$300,MATCH($B72,Costos!$A$23:$A$300,0)),0)))</f>
        <v>6500</v>
      </c>
      <c r="G72" s="42" t="s">
        <v>303</v>
      </c>
      <c r="H72" s="42"/>
    </row>
    <row r="73" customFormat="false" ht="15.75" hidden="false" customHeight="true" outlineLevel="0" collapsed="false">
      <c r="A73" s="41"/>
      <c r="B73" s="42"/>
      <c r="C73" s="42"/>
      <c r="D73" s="43"/>
      <c r="E73" s="44"/>
      <c r="F73" s="45" t="str">
        <f aca="false">IF($B73="","",N($D73)*IF(N($E73)&gt;0,$E73,IFERROR(INDEX(Costos!$K$23:$K$300,MATCH($B73,Costos!$A$23:$A$300,0)),0)))</f>
        <v/>
      </c>
      <c r="G73" s="42" t="s">
        <v>303</v>
      </c>
      <c r="H73" s="42"/>
    </row>
    <row r="74" customFormat="false" ht="15.75" hidden="false" customHeight="true" outlineLevel="0" collapsed="false">
      <c r="A74" s="41"/>
      <c r="B74" s="42" t="s">
        <v>304</v>
      </c>
      <c r="C74" s="42" t="s">
        <v>251</v>
      </c>
      <c r="D74" s="43"/>
      <c r="E74" s="44"/>
      <c r="F74" s="45" t="n">
        <f aca="false">IF($B74="","",N($D74)*IF(N($E74)&gt;0,$E74,IFERROR(INDEX(Costos!$K$23:$K$300,MATCH($B74,Costos!$A$23:$A$300,0)),0)))</f>
        <v>0</v>
      </c>
      <c r="G74" s="42" t="s">
        <v>303</v>
      </c>
      <c r="H74" s="42"/>
    </row>
    <row r="75" customFormat="false" ht="15.75" hidden="false" customHeight="true" outlineLevel="0" collapsed="false">
      <c r="A75" s="41"/>
      <c r="B75" s="42"/>
      <c r="C75" s="42"/>
      <c r="D75" s="43"/>
      <c r="E75" s="44"/>
      <c r="F75" s="45" t="str">
        <f aca="false">IF($B75="","",N($D75)*IF(N($E75)&gt;0,$E75,IFERROR(INDEX(Costos!$K$23:$K$300,MATCH($B75,Costos!$A$23:$A$300,0)),0)))</f>
        <v/>
      </c>
      <c r="G75" s="42"/>
      <c r="H75" s="42"/>
    </row>
    <row r="76" customFormat="false" ht="15.75" hidden="false" customHeight="true" outlineLevel="0" collapsed="false">
      <c r="A76" s="41"/>
      <c r="B76" s="42"/>
      <c r="C76" s="42"/>
      <c r="D76" s="43"/>
      <c r="E76" s="44"/>
      <c r="F76" s="45" t="str">
        <f aca="false">IF($B76="","",N($D76)*IF(N($E76)&gt;0,$E76,IFERROR(INDEX(Costos!$K$23:$K$300,MATCH($B76,Costos!$A$23:$A$300,0)),0)))</f>
        <v/>
      </c>
      <c r="G76" s="42"/>
      <c r="H76" s="42"/>
    </row>
    <row r="77" customFormat="false" ht="15.75" hidden="false" customHeight="true" outlineLevel="0" collapsed="false">
      <c r="A77" s="41"/>
      <c r="B77" s="42"/>
      <c r="C77" s="42"/>
      <c r="D77" s="43"/>
      <c r="E77" s="44"/>
      <c r="F77" s="45" t="str">
        <f aca="false">IF($B77="","",N($D77)*IF(N($E77)&gt;0,$E77,IFERROR(INDEX(Costos!$K$23:$K$300,MATCH($B77,Costos!$A$23:$A$300,0)),0)))</f>
        <v/>
      </c>
      <c r="G77" s="42"/>
      <c r="H77" s="42"/>
    </row>
    <row r="78" customFormat="false" ht="15.75" hidden="false" customHeight="true" outlineLevel="0" collapsed="false">
      <c r="A78" s="41"/>
      <c r="B78" s="42"/>
      <c r="C78" s="42"/>
      <c r="D78" s="43"/>
      <c r="E78" s="44"/>
      <c r="F78" s="45" t="str">
        <f aca="false">IF($B78="","",N($D78)*IF(N($E78)&gt;0,$E78,IFERROR(INDEX(Costos!$K$23:$K$300,MATCH($B78,Costos!$A$23:$A$300,0)),0)))</f>
        <v/>
      </c>
      <c r="G78" s="42"/>
      <c r="H78" s="42"/>
    </row>
    <row r="79" customFormat="false" ht="15.75" hidden="false" customHeight="true" outlineLevel="0" collapsed="false">
      <c r="A79" s="41"/>
      <c r="B79" s="42"/>
      <c r="C79" s="42"/>
      <c r="D79" s="43"/>
      <c r="E79" s="44"/>
      <c r="F79" s="45" t="str">
        <f aca="false">IF($B79="","",N($D79)*IF(N($E79)&gt;0,$E79,IFERROR(INDEX(Costos!$K$23:$K$300,MATCH($B79,Costos!$A$23:$A$300,0)),0)))</f>
        <v/>
      </c>
      <c r="G79" s="42"/>
      <c r="H79" s="42"/>
    </row>
    <row r="80" customFormat="false" ht="15.75" hidden="false" customHeight="true" outlineLevel="0" collapsed="false">
      <c r="A80" s="41"/>
      <c r="B80" s="42"/>
      <c r="C80" s="42"/>
      <c r="D80" s="43"/>
      <c r="E80" s="44"/>
      <c r="F80" s="45" t="str">
        <f aca="false">IF($B80="","",N($D80)*IF(N($E80)&gt;0,$E80,IFERROR(INDEX(Costos!$K$23:$K$300,MATCH($B80,Costos!$A$23:$A$300,0)),0)))</f>
        <v/>
      </c>
      <c r="G80" s="42"/>
      <c r="H80" s="42"/>
    </row>
    <row r="81" customFormat="false" ht="15.75" hidden="false" customHeight="true" outlineLevel="0" collapsed="false">
      <c r="A81" s="41"/>
      <c r="B81" s="42"/>
      <c r="C81" s="42"/>
      <c r="D81" s="43"/>
      <c r="E81" s="44"/>
      <c r="F81" s="45" t="str">
        <f aca="false">IF($B81="","",N($D81)*IF(N($E81)&gt;0,$E81,IFERROR(INDEX(Costos!$K$23:$K$300,MATCH($B81,Costos!$A$23:$A$300,0)),0)))</f>
        <v/>
      </c>
      <c r="G81" s="42"/>
      <c r="H81" s="42"/>
    </row>
    <row r="82" customFormat="false" ht="15.75" hidden="false" customHeight="true" outlineLevel="0" collapsed="false">
      <c r="A82" s="41"/>
      <c r="B82" s="42"/>
      <c r="C82" s="42"/>
      <c r="D82" s="43"/>
      <c r="E82" s="44"/>
      <c r="F82" s="45" t="str">
        <f aca="false">IF($B82="","",N($D82)*IF(N($E82)&gt;0,$E82,IFERROR(INDEX(Costos!$K$23:$K$300,MATCH($B82,Costos!$A$23:$A$300,0)),0)))</f>
        <v/>
      </c>
      <c r="G82" s="42"/>
      <c r="H82" s="42"/>
    </row>
    <row r="83" customFormat="false" ht="15.75" hidden="false" customHeight="true" outlineLevel="0" collapsed="false">
      <c r="A83" s="41"/>
      <c r="B83" s="42"/>
      <c r="C83" s="42"/>
      <c r="D83" s="43"/>
      <c r="E83" s="44"/>
      <c r="F83" s="45" t="str">
        <f aca="false">IF($B83="","",N($D83)*IF(N($E83)&gt;0,$E83,IFERROR(INDEX(Costos!$K$23:$K$300,MATCH($B83,Costos!$A$23:$A$300,0)),0)))</f>
        <v/>
      </c>
      <c r="G83" s="42"/>
      <c r="H83" s="42"/>
    </row>
    <row r="84" customFormat="false" ht="15.75" hidden="false" customHeight="true" outlineLevel="0" collapsed="false">
      <c r="A84" s="41"/>
      <c r="B84" s="42"/>
      <c r="C84" s="42"/>
      <c r="D84" s="43"/>
      <c r="E84" s="44"/>
      <c r="F84" s="45" t="str">
        <f aca="false">IF($B84="","",N($D84)*IF(N($E84)&gt;0,$E84,IFERROR(INDEX(Costos!$K$23:$K$300,MATCH($B84,Costos!$A$23:$A$300,0)),0)))</f>
        <v/>
      </c>
      <c r="G84" s="42"/>
      <c r="H84" s="42"/>
    </row>
    <row r="85" customFormat="false" ht="15.75" hidden="false" customHeight="true" outlineLevel="0" collapsed="false">
      <c r="A85" s="41"/>
      <c r="B85" s="42"/>
      <c r="C85" s="42"/>
      <c r="D85" s="43"/>
      <c r="E85" s="44"/>
      <c r="F85" s="45" t="str">
        <f aca="false">IF($B85="","",N($D85)*IF(N($E85)&gt;0,$E85,IFERROR(INDEX(Costos!$K$23:$K$300,MATCH($B85,Costos!$A$23:$A$300,0)),0)))</f>
        <v/>
      </c>
      <c r="G85" s="42"/>
      <c r="H85" s="42"/>
    </row>
    <row r="86" customFormat="false" ht="15.75" hidden="false" customHeight="true" outlineLevel="0" collapsed="false">
      <c r="A86" s="41"/>
      <c r="B86" s="42"/>
      <c r="C86" s="42"/>
      <c r="D86" s="43"/>
      <c r="E86" s="44"/>
      <c r="F86" s="45" t="str">
        <f aca="false">IF($B86="","",N($D86)*IF(N($E86)&gt;0,$E86,IFERROR(INDEX(Costos!$K$23:$K$300,MATCH($B86,Costos!$A$23:$A$300,0)),0)))</f>
        <v/>
      </c>
      <c r="G86" s="42"/>
      <c r="H86" s="42"/>
    </row>
    <row r="87" customFormat="false" ht="15.75" hidden="false" customHeight="true" outlineLevel="0" collapsed="false">
      <c r="A87" s="41"/>
      <c r="B87" s="42"/>
      <c r="C87" s="42"/>
      <c r="D87" s="43"/>
      <c r="E87" s="44"/>
      <c r="F87" s="45" t="str">
        <f aca="false">IF($B87="","",N($D87)*IF(N($E87)&gt;0,$E87,IFERROR(INDEX(Costos!$K$23:$K$300,MATCH($B87,Costos!$A$23:$A$300,0)),0)))</f>
        <v/>
      </c>
      <c r="G87" s="42"/>
      <c r="H87" s="42"/>
    </row>
    <row r="88" customFormat="false" ht="15.75" hidden="false" customHeight="true" outlineLevel="0" collapsed="false">
      <c r="A88" s="41"/>
      <c r="B88" s="42"/>
      <c r="C88" s="42"/>
      <c r="D88" s="43"/>
      <c r="E88" s="44"/>
      <c r="F88" s="45" t="str">
        <f aca="false">IF($B88="","",N($D88)*IF(N($E88)&gt;0,$E88,IFERROR(INDEX(Costos!$K$23:$K$300,MATCH($B88,Costos!$A$23:$A$300,0)),0)))</f>
        <v/>
      </c>
      <c r="G88" s="42"/>
      <c r="H88" s="42"/>
    </row>
    <row r="89" customFormat="false" ht="15.75" hidden="false" customHeight="true" outlineLevel="0" collapsed="false">
      <c r="A89" s="41"/>
      <c r="B89" s="42"/>
      <c r="C89" s="42"/>
      <c r="D89" s="43"/>
      <c r="E89" s="44"/>
      <c r="F89" s="45" t="str">
        <f aca="false">IF($B89="","",N($D89)*IF(N($E89)&gt;0,$E89,IFERROR(INDEX(Costos!$K$23:$K$300,MATCH($B89,Costos!$A$23:$A$300,0)),0)))</f>
        <v/>
      </c>
      <c r="G89" s="42"/>
      <c r="H89" s="42"/>
    </row>
    <row r="90" customFormat="false" ht="15.75" hidden="false" customHeight="true" outlineLevel="0" collapsed="false">
      <c r="A90" s="41"/>
      <c r="B90" s="42"/>
      <c r="C90" s="42"/>
      <c r="D90" s="43"/>
      <c r="E90" s="44"/>
      <c r="F90" s="45" t="str">
        <f aca="false">IF($B90="","",N($D90)*IF(N($E90)&gt;0,$E90,IFERROR(INDEX(Costos!$K$23:$K$300,MATCH($B90,Costos!$A$23:$A$300,0)),0)))</f>
        <v/>
      </c>
      <c r="G90" s="42"/>
      <c r="H90" s="42"/>
    </row>
    <row r="91" customFormat="false" ht="15.75" hidden="false" customHeight="true" outlineLevel="0" collapsed="false">
      <c r="A91" s="41"/>
      <c r="B91" s="42"/>
      <c r="C91" s="42"/>
      <c r="D91" s="43"/>
      <c r="E91" s="44"/>
      <c r="F91" s="45" t="str">
        <f aca="false">IF($B91="","",N($D91)*IF(N($E91)&gt;0,$E91,IFERROR(INDEX(Costos!$K$23:$K$300,MATCH($B91,Costos!$A$23:$A$300,0)),0)))</f>
        <v/>
      </c>
      <c r="G91" s="42"/>
      <c r="H91" s="42"/>
    </row>
    <row r="92" customFormat="false" ht="15.75" hidden="false" customHeight="true" outlineLevel="0" collapsed="false">
      <c r="A92" s="41"/>
      <c r="B92" s="42"/>
      <c r="C92" s="42"/>
      <c r="D92" s="43"/>
      <c r="E92" s="44"/>
      <c r="F92" s="45" t="str">
        <f aca="false">IF($B92="","",N($D92)*IF(N($E92)&gt;0,$E92,IFERROR(INDEX(Costos!$K$23:$K$300,MATCH($B92,Costos!$A$23:$A$300,0)),0)))</f>
        <v/>
      </c>
      <c r="G92" s="42"/>
      <c r="H92" s="42"/>
    </row>
    <row r="93" customFormat="false" ht="15.75" hidden="false" customHeight="true" outlineLevel="0" collapsed="false">
      <c r="A93" s="41"/>
      <c r="B93" s="42"/>
      <c r="C93" s="42"/>
      <c r="D93" s="43"/>
      <c r="E93" s="44"/>
      <c r="F93" s="45" t="str">
        <f aca="false">IF($B93="","",N($D93)*IF(N($E93)&gt;0,$E93,IFERROR(INDEX(Costos!$K$23:$K$300,MATCH($B93,Costos!$A$23:$A$300,0)),0)))</f>
        <v/>
      </c>
      <c r="G93" s="42"/>
      <c r="H93" s="42"/>
    </row>
    <row r="94" customFormat="false" ht="15.75" hidden="false" customHeight="true" outlineLevel="0" collapsed="false">
      <c r="A94" s="41"/>
      <c r="B94" s="42"/>
      <c r="C94" s="42"/>
      <c r="D94" s="43"/>
      <c r="E94" s="44"/>
      <c r="F94" s="45" t="str">
        <f aca="false">IF($B94="","",N($D94)*IF(N($E94)&gt;0,$E94,IFERROR(INDEX(Costos!$K$23:$K$300,MATCH($B94,Costos!$A$23:$A$300,0)),0)))</f>
        <v/>
      </c>
      <c r="G94" s="42"/>
      <c r="H94" s="42"/>
    </row>
    <row r="95" customFormat="false" ht="15.75" hidden="false" customHeight="true" outlineLevel="0" collapsed="false">
      <c r="A95" s="41"/>
      <c r="B95" s="42"/>
      <c r="C95" s="42"/>
      <c r="D95" s="43"/>
      <c r="E95" s="44"/>
      <c r="F95" s="45" t="str">
        <f aca="false">IF($B95="","",N($D95)*IF(N($E95)&gt;0,$E95,IFERROR(INDEX(Costos!$K$23:$K$300,MATCH($B95,Costos!$A$23:$A$300,0)),0)))</f>
        <v/>
      </c>
      <c r="G95" s="42"/>
      <c r="H95" s="42"/>
    </row>
    <row r="96" customFormat="false" ht="15.75" hidden="false" customHeight="true" outlineLevel="0" collapsed="false">
      <c r="A96" s="41"/>
      <c r="B96" s="42"/>
      <c r="C96" s="42"/>
      <c r="D96" s="43"/>
      <c r="E96" s="44"/>
      <c r="F96" s="45" t="str">
        <f aca="false">IF($B96="","",N($D96)*IF(N($E96)&gt;0,$E96,IFERROR(INDEX(Costos!$K$23:$K$300,MATCH($B96,Costos!$A$23:$A$300,0)),0)))</f>
        <v/>
      </c>
      <c r="G96" s="42"/>
      <c r="H96" s="42"/>
    </row>
    <row r="97" customFormat="false" ht="15.75" hidden="false" customHeight="true" outlineLevel="0" collapsed="false">
      <c r="A97" s="41"/>
      <c r="B97" s="42"/>
      <c r="C97" s="42"/>
      <c r="D97" s="43"/>
      <c r="E97" s="44"/>
      <c r="F97" s="45" t="str">
        <f aca="false">IF($B97="","",N($D97)*IF(N($E97)&gt;0,$E97,IFERROR(INDEX(Costos!$K$23:$K$300,MATCH($B97,Costos!$A$23:$A$300,0)),0)))</f>
        <v/>
      </c>
      <c r="G97" s="42"/>
      <c r="H97" s="42"/>
    </row>
    <row r="98" customFormat="false" ht="15.75" hidden="false" customHeight="true" outlineLevel="0" collapsed="false">
      <c r="A98" s="41"/>
      <c r="B98" s="42"/>
      <c r="C98" s="42"/>
      <c r="D98" s="43"/>
      <c r="E98" s="44"/>
      <c r="F98" s="45" t="str">
        <f aca="false">IF($B98="","",N($D98)*IF(N($E98)&gt;0,$E98,IFERROR(INDEX(Costos!$K$23:$K$300,MATCH($B98,Costos!$A$23:$A$300,0)),0)))</f>
        <v/>
      </c>
      <c r="G98" s="42"/>
      <c r="H98" s="42"/>
    </row>
    <row r="99" customFormat="false" ht="15.75" hidden="false" customHeight="true" outlineLevel="0" collapsed="false">
      <c r="A99" s="41"/>
      <c r="B99" s="42"/>
      <c r="C99" s="42"/>
      <c r="D99" s="43"/>
      <c r="E99" s="44"/>
      <c r="F99" s="45" t="str">
        <f aca="false">IF($B99="","",N($D99)*IF(N($E99)&gt;0,$E99,IFERROR(INDEX(Costos!$K$23:$K$300,MATCH($B99,Costos!$A$23:$A$300,0)),0)))</f>
        <v/>
      </c>
      <c r="G99" s="42"/>
      <c r="H99" s="42"/>
    </row>
    <row r="100" customFormat="false" ht="15.75" hidden="false" customHeight="true" outlineLevel="0" collapsed="false">
      <c r="A100" s="41"/>
      <c r="B100" s="42"/>
      <c r="C100" s="42"/>
      <c r="D100" s="43"/>
      <c r="E100" s="44"/>
      <c r="F100" s="45" t="str">
        <f aca="false">IF($B100="","",N($D100)*IF(N($E100)&gt;0,$E100,IFERROR(INDEX(Costos!$K$23:$K$300,MATCH($B100,Costos!$A$23:$A$300,0)),0)))</f>
        <v/>
      </c>
      <c r="G100" s="42"/>
      <c r="H100" s="42"/>
    </row>
    <row r="101" customFormat="false" ht="15.75" hidden="false" customHeight="true" outlineLevel="0" collapsed="false">
      <c r="A101" s="41"/>
      <c r="B101" s="42"/>
      <c r="C101" s="42"/>
      <c r="D101" s="43"/>
      <c r="E101" s="44"/>
      <c r="F101" s="45" t="str">
        <f aca="false">IF($B101="","",N($D101)*IF(N($E101)&gt;0,$E101,IFERROR(INDEX(Costos!$K$23:$K$300,MATCH($B101,Costos!$A$23:$A$300,0)),0)))</f>
        <v/>
      </c>
      <c r="G101" s="42"/>
      <c r="H101" s="42"/>
    </row>
    <row r="102" customFormat="false" ht="15.75" hidden="false" customHeight="true" outlineLevel="0" collapsed="false">
      <c r="A102" s="41"/>
      <c r="B102" s="42"/>
      <c r="C102" s="42"/>
      <c r="D102" s="43"/>
      <c r="E102" s="44"/>
      <c r="F102" s="45" t="str">
        <f aca="false">IF($B102="","",N($D102)*IF(N($E102)&gt;0,$E102,IFERROR(INDEX(Costos!$K$23:$K$300,MATCH($B102,Costos!$A$23:$A$300,0)),0)))</f>
        <v/>
      </c>
      <c r="G102" s="42"/>
      <c r="H102" s="42"/>
    </row>
    <row r="103" customFormat="false" ht="15.75" hidden="false" customHeight="true" outlineLevel="0" collapsed="false">
      <c r="A103" s="41"/>
      <c r="B103" s="42"/>
      <c r="C103" s="42"/>
      <c r="D103" s="43"/>
      <c r="E103" s="44"/>
      <c r="F103" s="45" t="str">
        <f aca="false">IF($B103="","",N($D103)*IF(N($E103)&gt;0,$E103,IFERROR(INDEX(Costos!$K$23:$K$300,MATCH($B103,Costos!$A$23:$A$300,0)),0)))</f>
        <v/>
      </c>
      <c r="G103" s="42"/>
      <c r="H103" s="42"/>
    </row>
    <row r="104" customFormat="false" ht="15.75" hidden="false" customHeight="true" outlineLevel="0" collapsed="false">
      <c r="A104" s="41"/>
      <c r="B104" s="42"/>
      <c r="C104" s="42"/>
      <c r="D104" s="43"/>
      <c r="E104" s="44"/>
      <c r="F104" s="45" t="str">
        <f aca="false">IF($B104="","",N($D104)*IF(N($E104)&gt;0,$E104,IFERROR(INDEX(Costos!$K$23:$K$300,MATCH($B104,Costos!$A$23:$A$300,0)),0)))</f>
        <v/>
      </c>
      <c r="G104" s="42"/>
      <c r="H104" s="42"/>
    </row>
    <row r="105" customFormat="false" ht="15.75" hidden="false" customHeight="true" outlineLevel="0" collapsed="false">
      <c r="A105" s="41"/>
      <c r="B105" s="42"/>
      <c r="C105" s="42"/>
      <c r="D105" s="43"/>
      <c r="E105" s="44"/>
      <c r="F105" s="45" t="str">
        <f aca="false">IF($B105="","",N($D105)*IF(N($E105)&gt;0,$E105,IFERROR(INDEX(Costos!$K$23:$K$300,MATCH($B105,Costos!$A$23:$A$300,0)),0)))</f>
        <v/>
      </c>
      <c r="G105" s="42"/>
      <c r="H105" s="42"/>
    </row>
    <row r="106" customFormat="false" ht="15.75" hidden="false" customHeight="true" outlineLevel="0" collapsed="false">
      <c r="A106" s="41"/>
      <c r="B106" s="42"/>
      <c r="C106" s="42"/>
      <c r="D106" s="43"/>
      <c r="E106" s="44"/>
      <c r="F106" s="45" t="str">
        <f aca="false">IF($B106="","",N($D106)*IF(N($E106)&gt;0,$E106,IFERROR(INDEX(Costos!$K$23:$K$300,MATCH($B106,Costos!$A$23:$A$300,0)),0)))</f>
        <v/>
      </c>
      <c r="G106" s="42"/>
      <c r="H106" s="42"/>
    </row>
    <row r="107" customFormat="false" ht="15.75" hidden="false" customHeight="true" outlineLevel="0" collapsed="false">
      <c r="A107" s="41"/>
      <c r="B107" s="42"/>
      <c r="C107" s="42"/>
      <c r="D107" s="43"/>
      <c r="E107" s="44"/>
      <c r="F107" s="45" t="str">
        <f aca="false">IF($B107="","",N($D107)*IF(N($E107)&gt;0,$E107,IFERROR(INDEX(Costos!$K$23:$K$300,MATCH($B107,Costos!$A$23:$A$300,0)),0)))</f>
        <v/>
      </c>
      <c r="G107" s="42"/>
      <c r="H107" s="42"/>
    </row>
    <row r="108" customFormat="false" ht="15.75" hidden="false" customHeight="true" outlineLevel="0" collapsed="false">
      <c r="A108" s="41"/>
      <c r="B108" s="42"/>
      <c r="C108" s="42"/>
      <c r="D108" s="43"/>
      <c r="E108" s="44"/>
      <c r="F108" s="45" t="str">
        <f aca="false">IF($B108="","",N($D108)*IF(N($E108)&gt;0,$E108,IFERROR(INDEX(Costos!$K$23:$K$300,MATCH($B108,Costos!$A$23:$A$300,0)),0)))</f>
        <v/>
      </c>
      <c r="G108" s="42"/>
      <c r="H108" s="42"/>
    </row>
    <row r="109" customFormat="false" ht="15.75" hidden="false" customHeight="true" outlineLevel="0" collapsed="false">
      <c r="A109" s="41"/>
      <c r="B109" s="42"/>
      <c r="C109" s="42"/>
      <c r="D109" s="43"/>
      <c r="E109" s="44"/>
      <c r="F109" s="45" t="str">
        <f aca="false">IF($B109="","",N($D109)*IF(N($E109)&gt;0,$E109,IFERROR(INDEX(Costos!$K$23:$K$300,MATCH($B109,Costos!$A$23:$A$300,0)),0)))</f>
        <v/>
      </c>
      <c r="G109" s="42"/>
      <c r="H109" s="42"/>
    </row>
    <row r="110" customFormat="false" ht="15.75" hidden="false" customHeight="true" outlineLevel="0" collapsed="false">
      <c r="A110" s="41"/>
      <c r="B110" s="42"/>
      <c r="C110" s="42"/>
      <c r="D110" s="43"/>
      <c r="E110" s="44"/>
      <c r="F110" s="45" t="str">
        <f aca="false">IF($B110="","",N($D110)*IF(N($E110)&gt;0,$E110,IFERROR(INDEX(Costos!$K$23:$K$300,MATCH($B110,Costos!$A$23:$A$300,0)),0)))</f>
        <v/>
      </c>
      <c r="G110" s="42"/>
      <c r="H110" s="42"/>
    </row>
    <row r="111" customFormat="false" ht="15.75" hidden="false" customHeight="true" outlineLevel="0" collapsed="false">
      <c r="A111" s="41"/>
      <c r="B111" s="42"/>
      <c r="C111" s="42"/>
      <c r="D111" s="43"/>
      <c r="E111" s="44"/>
      <c r="F111" s="45" t="str">
        <f aca="false">IF($B111="","",N($D111)*IF(N($E111)&gt;0,$E111,IFERROR(INDEX(Costos!$K$23:$K$300,MATCH($B111,Costos!$A$23:$A$300,0)),0)))</f>
        <v/>
      </c>
      <c r="G111" s="42"/>
      <c r="H111" s="42"/>
    </row>
    <row r="112" customFormat="false" ht="15.75" hidden="false" customHeight="true" outlineLevel="0" collapsed="false">
      <c r="A112" s="41"/>
      <c r="B112" s="42"/>
      <c r="C112" s="42"/>
      <c r="D112" s="43"/>
      <c r="E112" s="44"/>
      <c r="F112" s="45" t="str">
        <f aca="false">IF($B112="","",N($D112)*IF(N($E112)&gt;0,$E112,IFERROR(INDEX(Costos!$K$23:$K$300,MATCH($B112,Costos!$A$23:$A$300,0)),0)))</f>
        <v/>
      </c>
      <c r="G112" s="42"/>
      <c r="H112" s="42"/>
    </row>
    <row r="113" customFormat="false" ht="15.75" hidden="false" customHeight="true" outlineLevel="0" collapsed="false">
      <c r="A113" s="41"/>
      <c r="B113" s="42"/>
      <c r="C113" s="42"/>
      <c r="D113" s="43"/>
      <c r="E113" s="44"/>
      <c r="F113" s="45" t="str">
        <f aca="false">IF($B113="","",N($D113)*IF(N($E113)&gt;0,$E113,IFERROR(INDEX(Costos!$K$23:$K$300,MATCH($B113,Costos!$A$23:$A$300,0)),0)))</f>
        <v/>
      </c>
      <c r="G113" s="42"/>
      <c r="H113" s="42"/>
    </row>
    <row r="114" customFormat="false" ht="15.75" hidden="false" customHeight="true" outlineLevel="0" collapsed="false">
      <c r="A114" s="41"/>
      <c r="B114" s="42"/>
      <c r="C114" s="42"/>
      <c r="D114" s="43"/>
      <c r="E114" s="44"/>
      <c r="F114" s="45" t="str">
        <f aca="false">IF($B114="","",N($D114)*IF(N($E114)&gt;0,$E114,IFERROR(INDEX(Costos!$K$23:$K$300,MATCH($B114,Costos!$A$23:$A$300,0)),0)))</f>
        <v/>
      </c>
      <c r="G114" s="42"/>
      <c r="H114" s="42"/>
    </row>
    <row r="115" customFormat="false" ht="15.75" hidden="false" customHeight="true" outlineLevel="0" collapsed="false">
      <c r="A115" s="41"/>
      <c r="B115" s="42"/>
      <c r="C115" s="42"/>
      <c r="D115" s="43"/>
      <c r="E115" s="44"/>
      <c r="F115" s="45" t="str">
        <f aca="false">IF($B115="","",N($D115)*IF(N($E115)&gt;0,$E115,IFERROR(INDEX(Costos!$K$23:$K$300,MATCH($B115,Costos!$A$23:$A$300,0)),0)))</f>
        <v/>
      </c>
      <c r="G115" s="42"/>
      <c r="H115" s="42"/>
    </row>
    <row r="116" customFormat="false" ht="15.75" hidden="false" customHeight="true" outlineLevel="0" collapsed="false">
      <c r="A116" s="41"/>
      <c r="B116" s="42"/>
      <c r="C116" s="42"/>
      <c r="D116" s="43"/>
      <c r="E116" s="44"/>
      <c r="F116" s="45" t="str">
        <f aca="false">IF($B116="","",N($D116)*IF(N($E116)&gt;0,$E116,IFERROR(INDEX(Costos!$K$23:$K$300,MATCH($B116,Costos!$A$23:$A$300,0)),0)))</f>
        <v/>
      </c>
      <c r="G116" s="42"/>
      <c r="H116" s="42"/>
    </row>
    <row r="117" customFormat="false" ht="15.75" hidden="false" customHeight="true" outlineLevel="0" collapsed="false">
      <c r="A117" s="41"/>
      <c r="B117" s="42"/>
      <c r="C117" s="42"/>
      <c r="D117" s="43"/>
      <c r="E117" s="44"/>
      <c r="F117" s="45" t="str">
        <f aca="false">IF($B117="","",N($D117)*IF(N($E117)&gt;0,$E117,IFERROR(INDEX(Costos!$K$23:$K$300,MATCH($B117,Costos!$A$23:$A$300,0)),0)))</f>
        <v/>
      </c>
      <c r="G117" s="42"/>
      <c r="H117" s="42"/>
    </row>
    <row r="118" customFormat="false" ht="15.75" hidden="false" customHeight="true" outlineLevel="0" collapsed="false">
      <c r="A118" s="41"/>
      <c r="B118" s="42"/>
      <c r="C118" s="42"/>
      <c r="D118" s="43"/>
      <c r="E118" s="44"/>
      <c r="F118" s="45" t="str">
        <f aca="false">IF($B118="","",N($D118)*IF(N($E118)&gt;0,$E118,IFERROR(INDEX(Costos!$K$23:$K$300,MATCH($B118,Costos!$A$23:$A$300,0)),0)))</f>
        <v/>
      </c>
      <c r="G118" s="42"/>
      <c r="H118" s="42"/>
    </row>
    <row r="119" customFormat="false" ht="15.75" hidden="false" customHeight="true" outlineLevel="0" collapsed="false">
      <c r="A119" s="41"/>
      <c r="B119" s="42"/>
      <c r="C119" s="42"/>
      <c r="D119" s="43"/>
      <c r="E119" s="44"/>
      <c r="F119" s="45" t="str">
        <f aca="false">IF($B119="","",N($D119)*IF(N($E119)&gt;0,$E119,IFERROR(INDEX(Costos!$K$23:$K$300,MATCH($B119,Costos!$A$23:$A$300,0)),0)))</f>
        <v/>
      </c>
      <c r="G119" s="42"/>
      <c r="H119" s="42"/>
    </row>
    <row r="120" customFormat="false" ht="15.75" hidden="false" customHeight="true" outlineLevel="0" collapsed="false">
      <c r="A120" s="41"/>
      <c r="B120" s="42"/>
      <c r="C120" s="42"/>
      <c r="D120" s="43"/>
      <c r="E120" s="44"/>
      <c r="F120" s="45" t="str">
        <f aca="false">IF($B120="","",N($D120)*IF(N($E120)&gt;0,$E120,IFERROR(INDEX(Costos!$K$23:$K$300,MATCH($B120,Costos!$A$23:$A$300,0)),0)))</f>
        <v/>
      </c>
      <c r="G120" s="42"/>
      <c r="H120" s="42"/>
    </row>
    <row r="121" customFormat="false" ht="15.75" hidden="false" customHeight="true" outlineLevel="0" collapsed="false">
      <c r="A121" s="41"/>
      <c r="B121" s="42"/>
      <c r="C121" s="42"/>
      <c r="D121" s="43"/>
      <c r="E121" s="44"/>
      <c r="F121" s="45" t="str">
        <f aca="false">IF($B121="","",N($D121)*IF(N($E121)&gt;0,$E121,IFERROR(INDEX(Costos!$K$23:$K$300,MATCH($B121,Costos!$A$23:$A$300,0)),0)))</f>
        <v/>
      </c>
      <c r="G121" s="42"/>
      <c r="H121" s="42"/>
    </row>
    <row r="122" customFormat="false" ht="15.75" hidden="false" customHeight="true" outlineLevel="0" collapsed="false">
      <c r="A122" s="41"/>
      <c r="B122" s="42"/>
      <c r="C122" s="42"/>
      <c r="D122" s="43"/>
      <c r="E122" s="44"/>
      <c r="F122" s="45" t="str">
        <f aca="false">IF($B122="","",N($D122)*IF(N($E122)&gt;0,$E122,IFERROR(INDEX(Costos!$K$23:$K$300,MATCH($B122,Costos!$A$23:$A$300,0)),0)))</f>
        <v/>
      </c>
      <c r="G122" s="42"/>
      <c r="H122" s="42"/>
    </row>
    <row r="123" customFormat="false" ht="15.75" hidden="false" customHeight="true" outlineLevel="0" collapsed="false">
      <c r="A123" s="41"/>
      <c r="B123" s="42"/>
      <c r="C123" s="42"/>
      <c r="D123" s="43"/>
      <c r="E123" s="44"/>
      <c r="F123" s="45" t="str">
        <f aca="false">IF($B123="","",N($D123)*IF(N($E123)&gt;0,$E123,IFERROR(INDEX(Costos!$K$23:$K$300,MATCH($B123,Costos!$A$23:$A$300,0)),0)))</f>
        <v/>
      </c>
      <c r="G123" s="42"/>
      <c r="H123" s="42"/>
    </row>
    <row r="124" customFormat="false" ht="15.75" hidden="false" customHeight="true" outlineLevel="0" collapsed="false">
      <c r="A124" s="41"/>
      <c r="B124" s="42"/>
      <c r="C124" s="42"/>
      <c r="D124" s="43"/>
      <c r="E124" s="44"/>
      <c r="F124" s="45" t="str">
        <f aca="false">IF($B124="","",N($D124)*IF(N($E124)&gt;0,$E124,IFERROR(INDEX(Costos!$K$23:$K$300,MATCH($B124,Costos!$A$23:$A$300,0)),0)))</f>
        <v/>
      </c>
      <c r="G124" s="42"/>
      <c r="H124" s="42"/>
    </row>
    <row r="125" customFormat="false" ht="15.75" hidden="false" customHeight="true" outlineLevel="0" collapsed="false">
      <c r="A125" s="41"/>
      <c r="B125" s="42"/>
      <c r="C125" s="42"/>
      <c r="D125" s="43"/>
      <c r="E125" s="44"/>
      <c r="F125" s="45" t="str">
        <f aca="false">IF($B125="","",N($D125)*IF(N($E125)&gt;0,$E125,IFERROR(INDEX(Costos!$K$23:$K$300,MATCH($B125,Costos!$A$23:$A$300,0)),0)))</f>
        <v/>
      </c>
      <c r="G125" s="42"/>
      <c r="H125" s="42"/>
    </row>
    <row r="126" customFormat="false" ht="15.75" hidden="false" customHeight="true" outlineLevel="0" collapsed="false">
      <c r="A126" s="41"/>
      <c r="B126" s="42"/>
      <c r="C126" s="42"/>
      <c r="D126" s="43"/>
      <c r="E126" s="44"/>
      <c r="F126" s="45" t="str">
        <f aca="false">IF($B126="","",N($D126)*IF(N($E126)&gt;0,$E126,IFERROR(INDEX(Costos!$K$23:$K$300,MATCH($B126,Costos!$A$23:$A$300,0)),0)))</f>
        <v/>
      </c>
      <c r="G126" s="42"/>
      <c r="H126" s="42"/>
    </row>
    <row r="127" customFormat="false" ht="15.75" hidden="false" customHeight="true" outlineLevel="0" collapsed="false">
      <c r="A127" s="41"/>
      <c r="B127" s="42"/>
      <c r="C127" s="42"/>
      <c r="D127" s="43"/>
      <c r="E127" s="44"/>
      <c r="F127" s="45" t="str">
        <f aca="false">IF($B127="","",N($D127)*IF(N($E127)&gt;0,$E127,IFERROR(INDEX(Costos!$K$23:$K$300,MATCH($B127,Costos!$A$23:$A$300,0)),0)))</f>
        <v/>
      </c>
      <c r="G127" s="42"/>
      <c r="H127" s="42"/>
    </row>
    <row r="128" customFormat="false" ht="15.75" hidden="false" customHeight="true" outlineLevel="0" collapsed="false">
      <c r="A128" s="41"/>
      <c r="B128" s="42"/>
      <c r="C128" s="42"/>
      <c r="D128" s="43"/>
      <c r="E128" s="44"/>
      <c r="F128" s="45" t="str">
        <f aca="false">IF($B128="","",N($D128)*IF(N($E128)&gt;0,$E128,IFERROR(INDEX(Costos!$K$23:$K$300,MATCH($B128,Costos!$A$23:$A$300,0)),0)))</f>
        <v/>
      </c>
      <c r="G128" s="42"/>
      <c r="H128" s="42"/>
    </row>
    <row r="129" customFormat="false" ht="15.75" hidden="false" customHeight="true" outlineLevel="0" collapsed="false">
      <c r="A129" s="41"/>
      <c r="B129" s="42"/>
      <c r="C129" s="42"/>
      <c r="D129" s="43"/>
      <c r="E129" s="44"/>
      <c r="F129" s="45" t="str">
        <f aca="false">IF($B129="","",N($D129)*IF(N($E129)&gt;0,$E129,IFERROR(INDEX(Costos!$K$23:$K$300,MATCH($B129,Costos!$A$23:$A$300,0)),0)))</f>
        <v/>
      </c>
      <c r="G129" s="42"/>
      <c r="H129" s="42"/>
    </row>
    <row r="130" customFormat="false" ht="15.75" hidden="false" customHeight="true" outlineLevel="0" collapsed="false">
      <c r="A130" s="41"/>
      <c r="B130" s="42"/>
      <c r="C130" s="42"/>
      <c r="D130" s="43"/>
      <c r="E130" s="44"/>
      <c r="F130" s="45" t="str">
        <f aca="false">IF($B130="","",N($D130)*IF(N($E130)&gt;0,$E130,IFERROR(INDEX(Costos!$K$23:$K$300,MATCH($B130,Costos!$A$23:$A$300,0)),0)))</f>
        <v/>
      </c>
      <c r="G130" s="42"/>
      <c r="H130" s="42"/>
    </row>
    <row r="131" customFormat="false" ht="15.75" hidden="false" customHeight="true" outlineLevel="0" collapsed="false">
      <c r="A131" s="41"/>
      <c r="B131" s="42"/>
      <c r="C131" s="42"/>
      <c r="D131" s="43"/>
      <c r="E131" s="44"/>
      <c r="F131" s="45" t="str">
        <f aca="false">IF($B131="","",N($D131)*IF(N($E131)&gt;0,$E131,IFERROR(INDEX(Costos!$K$23:$K$300,MATCH($B131,Costos!$A$23:$A$300,0)),0)))</f>
        <v/>
      </c>
      <c r="G131" s="42"/>
      <c r="H131" s="42"/>
    </row>
    <row r="132" customFormat="false" ht="15.75" hidden="false" customHeight="true" outlineLevel="0" collapsed="false">
      <c r="A132" s="41"/>
      <c r="B132" s="42"/>
      <c r="C132" s="42"/>
      <c r="D132" s="43"/>
      <c r="E132" s="44"/>
      <c r="F132" s="45" t="str">
        <f aca="false">IF($B132="","",N($D132)*IF(N($E132)&gt;0,$E132,IFERROR(INDEX(Costos!$K$23:$K$300,MATCH($B132,Costos!$A$23:$A$300,0)),0)))</f>
        <v/>
      </c>
      <c r="G132" s="42"/>
      <c r="H132" s="42"/>
    </row>
    <row r="133" customFormat="false" ht="15.75" hidden="false" customHeight="true" outlineLevel="0" collapsed="false">
      <c r="A133" s="41"/>
      <c r="B133" s="42"/>
      <c r="C133" s="42"/>
      <c r="D133" s="43"/>
      <c r="E133" s="44"/>
      <c r="F133" s="45" t="str">
        <f aca="false">IF($B133="","",N($D133)*IF(N($E133)&gt;0,$E133,IFERROR(INDEX(Costos!$K$23:$K$300,MATCH($B133,Costos!$A$23:$A$300,0)),0)))</f>
        <v/>
      </c>
      <c r="G133" s="42"/>
      <c r="H133" s="42"/>
    </row>
    <row r="134" customFormat="false" ht="15.75" hidden="false" customHeight="true" outlineLevel="0" collapsed="false">
      <c r="A134" s="41"/>
      <c r="B134" s="42"/>
      <c r="C134" s="42"/>
      <c r="D134" s="43"/>
      <c r="E134" s="44"/>
      <c r="F134" s="45" t="str">
        <f aca="false">IF($B134="","",N($D134)*IF(N($E134)&gt;0,$E134,IFERROR(INDEX(Costos!$K$23:$K$300,MATCH($B134,Costos!$A$23:$A$300,0)),0)))</f>
        <v/>
      </c>
      <c r="G134" s="42"/>
      <c r="H134" s="42"/>
    </row>
    <row r="135" customFormat="false" ht="15.75" hidden="false" customHeight="true" outlineLevel="0" collapsed="false">
      <c r="A135" s="41"/>
      <c r="B135" s="42"/>
      <c r="C135" s="42"/>
      <c r="D135" s="43"/>
      <c r="E135" s="44"/>
      <c r="F135" s="45" t="str">
        <f aca="false">IF($B135="","",N($D135)*IF(N($E135)&gt;0,$E135,IFERROR(INDEX(Costos!$K$23:$K$300,MATCH($B135,Costos!$A$23:$A$300,0)),0)))</f>
        <v/>
      </c>
      <c r="G135" s="42"/>
      <c r="H135" s="42"/>
    </row>
    <row r="136" customFormat="false" ht="15.75" hidden="false" customHeight="true" outlineLevel="0" collapsed="false">
      <c r="A136" s="41"/>
      <c r="B136" s="42"/>
      <c r="C136" s="42"/>
      <c r="D136" s="43"/>
      <c r="E136" s="44"/>
      <c r="F136" s="45" t="str">
        <f aca="false">IF($B136="","",N($D136)*IF(N($E136)&gt;0,$E136,IFERROR(INDEX(Costos!$K$23:$K$300,MATCH($B136,Costos!$A$23:$A$300,0)),0)))</f>
        <v/>
      </c>
      <c r="G136" s="42"/>
      <c r="H136" s="42"/>
    </row>
    <row r="137" customFormat="false" ht="15.75" hidden="false" customHeight="true" outlineLevel="0" collapsed="false">
      <c r="A137" s="41"/>
      <c r="B137" s="42"/>
      <c r="C137" s="42"/>
      <c r="D137" s="43"/>
      <c r="E137" s="44"/>
      <c r="F137" s="45" t="str">
        <f aca="false">IF($B137="","",N($D137)*IF(N($E137)&gt;0,$E137,IFERROR(INDEX(Costos!$K$23:$K$300,MATCH($B137,Costos!$A$23:$A$300,0)),0)))</f>
        <v/>
      </c>
      <c r="G137" s="42"/>
      <c r="H137" s="42"/>
    </row>
    <row r="138" customFormat="false" ht="15.75" hidden="false" customHeight="true" outlineLevel="0" collapsed="false">
      <c r="A138" s="41"/>
      <c r="B138" s="42"/>
      <c r="C138" s="42"/>
      <c r="D138" s="43"/>
      <c r="E138" s="44"/>
      <c r="F138" s="45" t="str">
        <f aca="false">IF($B138="","",N($D138)*IF(N($E138)&gt;0,$E138,IFERROR(INDEX(Costos!$K$23:$K$300,MATCH($B138,Costos!$A$23:$A$300,0)),0)))</f>
        <v/>
      </c>
      <c r="G138" s="42"/>
      <c r="H138" s="42"/>
    </row>
    <row r="139" customFormat="false" ht="15.75" hidden="false" customHeight="true" outlineLevel="0" collapsed="false">
      <c r="A139" s="41"/>
      <c r="B139" s="42"/>
      <c r="C139" s="42"/>
      <c r="D139" s="43"/>
      <c r="E139" s="44"/>
      <c r="F139" s="45" t="str">
        <f aca="false">IF($B139="","",N($D139)*IF(N($E139)&gt;0,$E139,IFERROR(INDEX(Costos!$K$23:$K$300,MATCH($B139,Costos!$A$23:$A$300,0)),0)))</f>
        <v/>
      </c>
      <c r="G139" s="42"/>
      <c r="H139" s="42"/>
    </row>
    <row r="140" customFormat="false" ht="15.75" hidden="false" customHeight="true" outlineLevel="0" collapsed="false">
      <c r="A140" s="41"/>
      <c r="B140" s="42"/>
      <c r="C140" s="42"/>
      <c r="D140" s="43"/>
      <c r="E140" s="44"/>
      <c r="F140" s="45" t="str">
        <f aca="false">IF($B140="","",N($D140)*IF(N($E140)&gt;0,$E140,IFERROR(INDEX(Costos!$K$23:$K$300,MATCH($B140,Costos!$A$23:$A$300,0)),0)))</f>
        <v/>
      </c>
      <c r="G140" s="42"/>
      <c r="H140" s="42"/>
    </row>
    <row r="141" customFormat="false" ht="15.75" hidden="false" customHeight="true" outlineLevel="0" collapsed="false">
      <c r="A141" s="41"/>
      <c r="B141" s="42"/>
      <c r="C141" s="42"/>
      <c r="D141" s="43"/>
      <c r="E141" s="44"/>
      <c r="F141" s="45" t="str">
        <f aca="false">IF($B141="","",N($D141)*IF(N($E141)&gt;0,$E141,IFERROR(INDEX(Costos!$K$23:$K$300,MATCH($B141,Costos!$A$23:$A$300,0)),0)))</f>
        <v/>
      </c>
      <c r="G141" s="42"/>
      <c r="H141" s="42"/>
    </row>
    <row r="142" customFormat="false" ht="15.75" hidden="false" customHeight="true" outlineLevel="0" collapsed="false">
      <c r="A142" s="41"/>
      <c r="B142" s="42"/>
      <c r="C142" s="42"/>
      <c r="D142" s="43"/>
      <c r="E142" s="44"/>
      <c r="F142" s="45" t="str">
        <f aca="false">IF($B142="","",N($D142)*IF(N($E142)&gt;0,$E142,IFERROR(INDEX(Costos!$K$23:$K$300,MATCH($B142,Costos!$A$23:$A$300,0)),0)))</f>
        <v/>
      </c>
      <c r="G142" s="42"/>
      <c r="H142" s="42"/>
    </row>
    <row r="143" customFormat="false" ht="15.75" hidden="false" customHeight="true" outlineLevel="0" collapsed="false">
      <c r="A143" s="41"/>
      <c r="B143" s="42"/>
      <c r="C143" s="42"/>
      <c r="D143" s="43"/>
      <c r="E143" s="44"/>
      <c r="F143" s="45" t="str">
        <f aca="false">IF($B143="","",N($D143)*IF(N($E143)&gt;0,$E143,IFERROR(INDEX(Costos!$K$23:$K$300,MATCH($B143,Costos!$A$23:$A$300,0)),0)))</f>
        <v/>
      </c>
      <c r="G143" s="42"/>
      <c r="H143" s="42"/>
    </row>
    <row r="144" customFormat="false" ht="15.75" hidden="false" customHeight="true" outlineLevel="0" collapsed="false">
      <c r="A144" s="41"/>
      <c r="B144" s="42"/>
      <c r="C144" s="42"/>
      <c r="D144" s="43"/>
      <c r="E144" s="44"/>
      <c r="F144" s="45" t="str">
        <f aca="false">IF($B144="","",N($D144)*IF(N($E144)&gt;0,$E144,IFERROR(INDEX(Costos!$K$23:$K$300,MATCH($B144,Costos!$A$23:$A$300,0)),0)))</f>
        <v/>
      </c>
      <c r="G144" s="42"/>
      <c r="H144" s="42"/>
    </row>
    <row r="145" customFormat="false" ht="15.75" hidden="false" customHeight="true" outlineLevel="0" collapsed="false">
      <c r="A145" s="41"/>
      <c r="B145" s="42"/>
      <c r="C145" s="42"/>
      <c r="D145" s="43"/>
      <c r="E145" s="44"/>
      <c r="F145" s="45" t="str">
        <f aca="false">IF($B145="","",N($D145)*IF(N($E145)&gt;0,$E145,IFERROR(INDEX(Costos!$K$23:$K$300,MATCH($B145,Costos!$A$23:$A$300,0)),0)))</f>
        <v/>
      </c>
      <c r="G145" s="42"/>
      <c r="H145" s="42"/>
    </row>
    <row r="146" customFormat="false" ht="15.75" hidden="false" customHeight="true" outlineLevel="0" collapsed="false">
      <c r="A146" s="41"/>
      <c r="B146" s="42"/>
      <c r="C146" s="42"/>
      <c r="D146" s="43"/>
      <c r="E146" s="44"/>
      <c r="F146" s="45" t="str">
        <f aca="false">IF($B146="","",N($D146)*IF(N($E146)&gt;0,$E146,IFERROR(INDEX(Costos!$K$23:$K$300,MATCH($B146,Costos!$A$23:$A$300,0)),0)))</f>
        <v/>
      </c>
      <c r="G146" s="42"/>
      <c r="H146" s="42"/>
    </row>
    <row r="147" customFormat="false" ht="15.75" hidden="false" customHeight="true" outlineLevel="0" collapsed="false">
      <c r="A147" s="41"/>
      <c r="B147" s="42"/>
      <c r="C147" s="42"/>
      <c r="D147" s="43"/>
      <c r="E147" s="44"/>
      <c r="F147" s="45" t="str">
        <f aca="false">IF($B147="","",N($D147)*IF(N($E147)&gt;0,$E147,IFERROR(INDEX(Costos!$K$23:$K$300,MATCH($B147,Costos!$A$23:$A$300,0)),0)))</f>
        <v/>
      </c>
      <c r="G147" s="42"/>
      <c r="H147" s="42"/>
    </row>
    <row r="148" customFormat="false" ht="15.75" hidden="false" customHeight="true" outlineLevel="0" collapsed="false">
      <c r="A148" s="41"/>
      <c r="B148" s="42"/>
      <c r="C148" s="42"/>
      <c r="D148" s="43"/>
      <c r="E148" s="44"/>
      <c r="F148" s="45" t="str">
        <f aca="false">IF($B148="","",N($D148)*IF(N($E148)&gt;0,$E148,IFERROR(INDEX(Costos!$K$23:$K$300,MATCH($B148,Costos!$A$23:$A$300,0)),0)))</f>
        <v/>
      </c>
      <c r="G148" s="42"/>
      <c r="H148" s="42"/>
    </row>
    <row r="149" customFormat="false" ht="15.75" hidden="false" customHeight="true" outlineLevel="0" collapsed="false">
      <c r="A149" s="41"/>
      <c r="B149" s="42"/>
      <c r="C149" s="42"/>
      <c r="D149" s="43"/>
      <c r="E149" s="44"/>
      <c r="F149" s="45" t="str">
        <f aca="false">IF($B149="","",N($D149)*IF(N($E149)&gt;0,$E149,IFERROR(INDEX(Costos!$K$23:$K$300,MATCH($B149,Costos!$A$23:$A$300,0)),0)))</f>
        <v/>
      </c>
      <c r="G149" s="42"/>
      <c r="H149" s="42"/>
    </row>
    <row r="150" customFormat="false" ht="15.75" hidden="false" customHeight="true" outlineLevel="0" collapsed="false">
      <c r="A150" s="41"/>
      <c r="B150" s="42"/>
      <c r="C150" s="42"/>
      <c r="D150" s="43"/>
      <c r="E150" s="44"/>
      <c r="F150" s="45" t="str">
        <f aca="false">IF($B150="","",N($D150)*IF(N($E150)&gt;0,$E150,IFERROR(INDEX(Costos!$K$23:$K$300,MATCH($B150,Costos!$A$23:$A$300,0)),0)))</f>
        <v/>
      </c>
      <c r="G150" s="42"/>
      <c r="H150" s="42"/>
    </row>
    <row r="151" customFormat="false" ht="15.75" hidden="false" customHeight="true" outlineLevel="0" collapsed="false">
      <c r="A151" s="41"/>
      <c r="B151" s="42"/>
      <c r="C151" s="42"/>
      <c r="D151" s="43"/>
      <c r="E151" s="44"/>
      <c r="F151" s="45" t="str">
        <f aca="false">IF($B151="","",N($D151)*IF(N($E151)&gt;0,$E151,IFERROR(INDEX(Costos!$K$23:$K$300,MATCH($B151,Costos!$A$23:$A$300,0)),0)))</f>
        <v/>
      </c>
      <c r="G151" s="42"/>
      <c r="H151" s="42"/>
    </row>
    <row r="152" customFormat="false" ht="15.75" hidden="false" customHeight="true" outlineLevel="0" collapsed="false">
      <c r="A152" s="41"/>
      <c r="B152" s="42"/>
      <c r="C152" s="42"/>
      <c r="D152" s="43"/>
      <c r="E152" s="44"/>
      <c r="F152" s="45" t="str">
        <f aca="false">IF($B152="","",N($D152)*IF(N($E152)&gt;0,$E152,IFERROR(INDEX(Costos!$K$23:$K$300,MATCH($B152,Costos!$A$23:$A$300,0)),0)))</f>
        <v/>
      </c>
      <c r="G152" s="42"/>
      <c r="H152" s="42"/>
    </row>
    <row r="153" customFormat="false" ht="15.75" hidden="false" customHeight="true" outlineLevel="0" collapsed="false">
      <c r="A153" s="41"/>
      <c r="B153" s="42"/>
      <c r="C153" s="42"/>
      <c r="D153" s="43"/>
      <c r="E153" s="44"/>
      <c r="F153" s="45" t="str">
        <f aca="false">IF($B153="","",N($D153)*IF(N($E153)&gt;0,$E153,IFERROR(INDEX(Costos!$K$23:$K$300,MATCH($B153,Costos!$A$23:$A$300,0)),0)))</f>
        <v/>
      </c>
      <c r="G153" s="42"/>
      <c r="H153" s="42"/>
    </row>
    <row r="154" customFormat="false" ht="15.75" hidden="false" customHeight="true" outlineLevel="0" collapsed="false">
      <c r="A154" s="41"/>
      <c r="B154" s="42"/>
      <c r="C154" s="42"/>
      <c r="D154" s="43"/>
      <c r="E154" s="44"/>
      <c r="F154" s="45" t="str">
        <f aca="false">IF($B154="","",N($D154)*IF(N($E154)&gt;0,$E154,IFERROR(INDEX(Costos!$K$23:$K$300,MATCH($B154,Costos!$A$23:$A$300,0)),0)))</f>
        <v/>
      </c>
      <c r="G154" s="42"/>
      <c r="H154" s="42"/>
    </row>
    <row r="155" customFormat="false" ht="15.75" hidden="false" customHeight="true" outlineLevel="0" collapsed="false">
      <c r="A155" s="41"/>
      <c r="B155" s="42"/>
      <c r="C155" s="42"/>
      <c r="D155" s="43"/>
      <c r="E155" s="44"/>
      <c r="F155" s="45" t="str">
        <f aca="false">IF($B155="","",N($D155)*IF(N($E155)&gt;0,$E155,IFERROR(INDEX(Costos!$K$23:$K$300,MATCH($B155,Costos!$A$23:$A$300,0)),0)))</f>
        <v/>
      </c>
      <c r="G155" s="42"/>
      <c r="H155" s="42"/>
    </row>
    <row r="156" customFormat="false" ht="15.75" hidden="false" customHeight="true" outlineLevel="0" collapsed="false">
      <c r="A156" s="41"/>
      <c r="B156" s="42"/>
      <c r="C156" s="42"/>
      <c r="D156" s="43"/>
      <c r="E156" s="44"/>
      <c r="F156" s="45" t="str">
        <f aca="false">IF($B156="","",N($D156)*IF(N($E156)&gt;0,$E156,IFERROR(INDEX(Costos!$K$23:$K$300,MATCH($B156,Costos!$A$23:$A$300,0)),0)))</f>
        <v/>
      </c>
      <c r="G156" s="42"/>
      <c r="H156" s="42"/>
    </row>
    <row r="157" customFormat="false" ht="15.75" hidden="false" customHeight="true" outlineLevel="0" collapsed="false">
      <c r="A157" s="41"/>
      <c r="B157" s="42"/>
      <c r="C157" s="42"/>
      <c r="D157" s="43"/>
      <c r="E157" s="44"/>
      <c r="F157" s="45" t="str">
        <f aca="false">IF($B157="","",N($D157)*IF(N($E157)&gt;0,$E157,IFERROR(INDEX(Costos!$K$23:$K$300,MATCH($B157,Costos!$A$23:$A$300,0)),0)))</f>
        <v/>
      </c>
      <c r="G157" s="42"/>
      <c r="H157" s="42"/>
    </row>
    <row r="158" customFormat="false" ht="15.75" hidden="false" customHeight="true" outlineLevel="0" collapsed="false">
      <c r="A158" s="41"/>
      <c r="B158" s="42"/>
      <c r="C158" s="42"/>
      <c r="D158" s="43"/>
      <c r="E158" s="44"/>
      <c r="F158" s="45" t="str">
        <f aca="false">IF($B158="","",N($D158)*IF(N($E158)&gt;0,$E158,IFERROR(INDEX(Costos!$K$23:$K$300,MATCH($B158,Costos!$A$23:$A$300,0)),0)))</f>
        <v/>
      </c>
      <c r="G158" s="42"/>
      <c r="H158" s="42"/>
    </row>
    <row r="159" customFormat="false" ht="15.75" hidden="false" customHeight="true" outlineLevel="0" collapsed="false">
      <c r="A159" s="41"/>
      <c r="B159" s="42"/>
      <c r="C159" s="42"/>
      <c r="D159" s="43"/>
      <c r="E159" s="44"/>
      <c r="F159" s="45" t="str">
        <f aca="false">IF($B159="","",N($D159)*IF(N($E159)&gt;0,$E159,IFERROR(INDEX(Costos!$K$23:$K$300,MATCH($B159,Costos!$A$23:$A$300,0)),0)))</f>
        <v/>
      </c>
      <c r="G159" s="42"/>
      <c r="H159" s="42"/>
    </row>
    <row r="160" customFormat="false" ht="15.75" hidden="false" customHeight="true" outlineLevel="0" collapsed="false">
      <c r="A160" s="41"/>
      <c r="B160" s="42"/>
      <c r="C160" s="42"/>
      <c r="D160" s="43"/>
      <c r="E160" s="44"/>
      <c r="F160" s="45" t="str">
        <f aca="false">IF($B160="","",N($D160)*IF(N($E160)&gt;0,$E160,IFERROR(INDEX(Costos!$K$23:$K$300,MATCH($B160,Costos!$A$23:$A$300,0)),0)))</f>
        <v/>
      </c>
      <c r="G160" s="42"/>
      <c r="H160" s="42"/>
    </row>
    <row r="161" customFormat="false" ht="15.75" hidden="false" customHeight="true" outlineLevel="0" collapsed="false">
      <c r="A161" s="41"/>
      <c r="B161" s="42"/>
      <c r="C161" s="42"/>
      <c r="D161" s="43"/>
      <c r="E161" s="44"/>
      <c r="F161" s="45" t="str">
        <f aca="false">IF($B161="","",N($D161)*IF(N($E161)&gt;0,$E161,IFERROR(INDEX(Costos!$K$23:$K$300,MATCH($B161,Costos!$A$23:$A$300,0)),0)))</f>
        <v/>
      </c>
      <c r="G161" s="42"/>
      <c r="H161" s="42"/>
    </row>
    <row r="162" customFormat="false" ht="15.75" hidden="false" customHeight="true" outlineLevel="0" collapsed="false">
      <c r="A162" s="41"/>
      <c r="B162" s="42"/>
      <c r="C162" s="42"/>
      <c r="D162" s="43"/>
      <c r="E162" s="44"/>
      <c r="F162" s="45" t="str">
        <f aca="false">IF($B162="","",N($D162)*IF(N($E162)&gt;0,$E162,IFERROR(INDEX(Costos!$K$23:$K$300,MATCH($B162,Costos!$A$23:$A$300,0)),0)))</f>
        <v/>
      </c>
      <c r="G162" s="42"/>
      <c r="H162" s="42"/>
    </row>
    <row r="163" customFormat="false" ht="15.75" hidden="false" customHeight="true" outlineLevel="0" collapsed="false">
      <c r="A163" s="41"/>
      <c r="B163" s="42"/>
      <c r="C163" s="42"/>
      <c r="D163" s="43"/>
      <c r="E163" s="44"/>
      <c r="F163" s="45" t="str">
        <f aca="false">IF($B163="","",N($D163)*IF(N($E163)&gt;0,$E163,IFERROR(INDEX(Costos!$K$23:$K$300,MATCH($B163,Costos!$A$23:$A$300,0)),0)))</f>
        <v/>
      </c>
      <c r="G163" s="42"/>
      <c r="H163" s="42"/>
    </row>
    <row r="164" customFormat="false" ht="15.75" hidden="false" customHeight="true" outlineLevel="0" collapsed="false">
      <c r="A164" s="41"/>
      <c r="B164" s="42"/>
      <c r="C164" s="42"/>
      <c r="D164" s="43"/>
      <c r="E164" s="44"/>
      <c r="F164" s="45" t="str">
        <f aca="false">IF($B164="","",N($D164)*IF(N($E164)&gt;0,$E164,IFERROR(INDEX(Costos!$K$23:$K$300,MATCH($B164,Costos!$A$23:$A$300,0)),0)))</f>
        <v/>
      </c>
      <c r="G164" s="42"/>
      <c r="H164" s="42"/>
    </row>
    <row r="165" customFormat="false" ht="15.75" hidden="false" customHeight="true" outlineLevel="0" collapsed="false">
      <c r="A165" s="41"/>
      <c r="B165" s="42"/>
      <c r="C165" s="42"/>
      <c r="D165" s="43"/>
      <c r="E165" s="44"/>
      <c r="F165" s="45" t="str">
        <f aca="false">IF($B165="","",N($D165)*IF(N($E165)&gt;0,$E165,IFERROR(INDEX(Costos!$K$23:$K$300,MATCH($B165,Costos!$A$23:$A$300,0)),0)))</f>
        <v/>
      </c>
      <c r="G165" s="42"/>
      <c r="H165" s="42"/>
    </row>
    <row r="166" customFormat="false" ht="15.75" hidden="false" customHeight="true" outlineLevel="0" collapsed="false">
      <c r="A166" s="41"/>
      <c r="B166" s="42"/>
      <c r="C166" s="42"/>
      <c r="D166" s="43"/>
      <c r="E166" s="44"/>
      <c r="F166" s="45" t="str">
        <f aca="false">IF($B166="","",N($D166)*IF(N($E166)&gt;0,$E166,IFERROR(INDEX(Costos!$K$23:$K$300,MATCH($B166,Costos!$A$23:$A$300,0)),0)))</f>
        <v/>
      </c>
      <c r="G166" s="42"/>
      <c r="H166" s="42"/>
    </row>
    <row r="167" customFormat="false" ht="15.75" hidden="false" customHeight="true" outlineLevel="0" collapsed="false">
      <c r="A167" s="41"/>
      <c r="B167" s="42"/>
      <c r="C167" s="42"/>
      <c r="D167" s="43"/>
      <c r="E167" s="44"/>
      <c r="F167" s="45" t="str">
        <f aca="false">IF($B167="","",N($D167)*IF(N($E167)&gt;0,$E167,IFERROR(INDEX(Costos!$K$23:$K$300,MATCH($B167,Costos!$A$23:$A$300,0)),0)))</f>
        <v/>
      </c>
      <c r="G167" s="42"/>
      <c r="H167" s="42"/>
    </row>
    <row r="168" customFormat="false" ht="15.75" hidden="false" customHeight="true" outlineLevel="0" collapsed="false">
      <c r="A168" s="41"/>
      <c r="B168" s="42"/>
      <c r="C168" s="42"/>
      <c r="D168" s="43"/>
      <c r="E168" s="44"/>
      <c r="F168" s="45" t="str">
        <f aca="false">IF($B168="","",N($D168)*IF(N($E168)&gt;0,$E168,IFERROR(INDEX(Costos!$K$23:$K$300,MATCH($B168,Costos!$A$23:$A$300,0)),0)))</f>
        <v/>
      </c>
      <c r="G168" s="42"/>
      <c r="H168" s="42"/>
    </row>
    <row r="169" customFormat="false" ht="15.75" hidden="false" customHeight="true" outlineLevel="0" collapsed="false">
      <c r="A169" s="41"/>
      <c r="B169" s="42"/>
      <c r="C169" s="42"/>
      <c r="D169" s="43"/>
      <c r="E169" s="44"/>
      <c r="F169" s="45" t="str">
        <f aca="false">IF($B169="","",N($D169)*IF(N($E169)&gt;0,$E169,IFERROR(INDEX(Costos!$K$23:$K$300,MATCH($B169,Costos!$A$23:$A$300,0)),0)))</f>
        <v/>
      </c>
      <c r="G169" s="42"/>
      <c r="H169" s="42"/>
    </row>
    <row r="170" customFormat="false" ht="15.75" hidden="false" customHeight="true" outlineLevel="0" collapsed="false">
      <c r="A170" s="41"/>
      <c r="B170" s="42"/>
      <c r="C170" s="42"/>
      <c r="D170" s="43"/>
      <c r="E170" s="44"/>
      <c r="F170" s="45" t="str">
        <f aca="false">IF($B170="","",N($D170)*IF(N($E170)&gt;0,$E170,IFERROR(INDEX(Costos!$K$23:$K$300,MATCH($B170,Costos!$A$23:$A$300,0)),0)))</f>
        <v/>
      </c>
      <c r="G170" s="42"/>
      <c r="H170" s="42"/>
    </row>
    <row r="171" customFormat="false" ht="15.75" hidden="false" customHeight="true" outlineLevel="0" collapsed="false">
      <c r="A171" s="41"/>
      <c r="B171" s="42"/>
      <c r="C171" s="42"/>
      <c r="D171" s="43"/>
      <c r="E171" s="44"/>
      <c r="F171" s="45" t="str">
        <f aca="false">IF($B171="","",N($D171)*IF(N($E171)&gt;0,$E171,IFERROR(INDEX(Costos!$K$23:$K$300,MATCH($B171,Costos!$A$23:$A$300,0)),0)))</f>
        <v/>
      </c>
      <c r="G171" s="42"/>
      <c r="H171" s="42"/>
    </row>
    <row r="172" customFormat="false" ht="15.75" hidden="false" customHeight="true" outlineLevel="0" collapsed="false">
      <c r="A172" s="41"/>
      <c r="B172" s="42"/>
      <c r="C172" s="42"/>
      <c r="D172" s="43"/>
      <c r="E172" s="44"/>
      <c r="F172" s="45" t="str">
        <f aca="false">IF($B172="","",N($D172)*IF(N($E172)&gt;0,$E172,IFERROR(INDEX(Costos!$K$23:$K$300,MATCH($B172,Costos!$A$23:$A$300,0)),0)))</f>
        <v/>
      </c>
      <c r="G172" s="42"/>
      <c r="H172" s="42"/>
    </row>
    <row r="173" customFormat="false" ht="15.75" hidden="false" customHeight="true" outlineLevel="0" collapsed="false">
      <c r="A173" s="41"/>
      <c r="B173" s="42"/>
      <c r="C173" s="42"/>
      <c r="D173" s="43"/>
      <c r="E173" s="44"/>
      <c r="F173" s="45" t="str">
        <f aca="false">IF($B173="","",N($D173)*IF(N($E173)&gt;0,$E173,IFERROR(INDEX(Costos!$K$23:$K$300,MATCH($B173,Costos!$A$23:$A$300,0)),0)))</f>
        <v/>
      </c>
      <c r="G173" s="42"/>
      <c r="H173" s="42"/>
    </row>
    <row r="174" customFormat="false" ht="15.75" hidden="false" customHeight="true" outlineLevel="0" collapsed="false">
      <c r="A174" s="41"/>
      <c r="B174" s="42"/>
      <c r="C174" s="42"/>
      <c r="D174" s="43"/>
      <c r="E174" s="44"/>
      <c r="F174" s="45" t="str">
        <f aca="false">IF($B174="","",N($D174)*IF(N($E174)&gt;0,$E174,IFERROR(INDEX(Costos!$K$23:$K$300,MATCH($B174,Costos!$A$23:$A$300,0)),0)))</f>
        <v/>
      </c>
      <c r="G174" s="42"/>
      <c r="H174" s="42"/>
    </row>
    <row r="175" customFormat="false" ht="15.75" hidden="false" customHeight="true" outlineLevel="0" collapsed="false">
      <c r="A175" s="41"/>
      <c r="B175" s="42"/>
      <c r="C175" s="42"/>
      <c r="D175" s="43"/>
      <c r="E175" s="44"/>
      <c r="F175" s="45" t="str">
        <f aca="false">IF($B175="","",N($D175)*IF(N($E175)&gt;0,$E175,IFERROR(INDEX(Costos!$K$23:$K$300,MATCH($B175,Costos!$A$23:$A$300,0)),0)))</f>
        <v/>
      </c>
      <c r="G175" s="42"/>
      <c r="H175" s="42"/>
    </row>
    <row r="176" customFormat="false" ht="15.75" hidden="false" customHeight="true" outlineLevel="0" collapsed="false">
      <c r="A176" s="41"/>
      <c r="B176" s="42"/>
      <c r="C176" s="42"/>
      <c r="D176" s="43"/>
      <c r="E176" s="44"/>
      <c r="F176" s="45" t="str">
        <f aca="false">IF($B176="","",N($D176)*IF(N($E176)&gt;0,$E176,IFERROR(INDEX(Costos!$K$23:$K$300,MATCH($B176,Costos!$A$23:$A$300,0)),0)))</f>
        <v/>
      </c>
      <c r="G176" s="42"/>
      <c r="H176" s="42"/>
    </row>
    <row r="177" customFormat="false" ht="15.75" hidden="false" customHeight="true" outlineLevel="0" collapsed="false">
      <c r="A177" s="41"/>
      <c r="B177" s="42"/>
      <c r="C177" s="42"/>
      <c r="D177" s="43"/>
      <c r="E177" s="44"/>
      <c r="F177" s="45" t="str">
        <f aca="false">IF($B177="","",N($D177)*IF(N($E177)&gt;0,$E177,IFERROR(INDEX(Costos!$K$23:$K$300,MATCH($B177,Costos!$A$23:$A$300,0)),0)))</f>
        <v/>
      </c>
      <c r="G177" s="42"/>
      <c r="H177" s="42"/>
    </row>
    <row r="178" customFormat="false" ht="15.75" hidden="false" customHeight="true" outlineLevel="0" collapsed="false">
      <c r="A178" s="41"/>
      <c r="B178" s="42"/>
      <c r="C178" s="42"/>
      <c r="D178" s="43"/>
      <c r="E178" s="44"/>
      <c r="F178" s="45" t="str">
        <f aca="false">IF($B178="","",N($D178)*IF(N($E178)&gt;0,$E178,IFERROR(INDEX(Costos!$K$23:$K$300,MATCH($B178,Costos!$A$23:$A$300,0)),0)))</f>
        <v/>
      </c>
      <c r="G178" s="42"/>
      <c r="H178" s="42"/>
    </row>
    <row r="179" customFormat="false" ht="15.75" hidden="false" customHeight="true" outlineLevel="0" collapsed="false">
      <c r="A179" s="41"/>
      <c r="B179" s="42"/>
      <c r="C179" s="42"/>
      <c r="D179" s="43"/>
      <c r="E179" s="44"/>
      <c r="F179" s="45" t="str">
        <f aca="false">IF($B179="","",N($D179)*IF(N($E179)&gt;0,$E179,IFERROR(INDEX(Costos!$K$23:$K$300,MATCH($B179,Costos!$A$23:$A$300,0)),0)))</f>
        <v/>
      </c>
      <c r="G179" s="42"/>
      <c r="H179" s="42"/>
    </row>
    <row r="180" customFormat="false" ht="15.75" hidden="false" customHeight="true" outlineLevel="0" collapsed="false">
      <c r="A180" s="41"/>
      <c r="B180" s="42"/>
      <c r="C180" s="42"/>
      <c r="D180" s="43"/>
      <c r="E180" s="44"/>
      <c r="F180" s="45" t="str">
        <f aca="false">IF($B180="","",N($D180)*IF(N($E180)&gt;0,$E180,IFERROR(INDEX(Costos!$K$23:$K$300,MATCH($B180,Costos!$A$23:$A$300,0)),0)))</f>
        <v/>
      </c>
      <c r="G180" s="42"/>
      <c r="H180" s="42"/>
    </row>
    <row r="181" customFormat="false" ht="15.75" hidden="false" customHeight="true" outlineLevel="0" collapsed="false">
      <c r="A181" s="41"/>
      <c r="B181" s="42"/>
      <c r="C181" s="42"/>
      <c r="D181" s="43"/>
      <c r="E181" s="44"/>
      <c r="F181" s="45" t="str">
        <f aca="false">IF($B181="","",N($D181)*IF(N($E181)&gt;0,$E181,IFERROR(INDEX(Costos!$K$23:$K$300,MATCH($B181,Costos!$A$23:$A$300,0)),0)))</f>
        <v/>
      </c>
      <c r="G181" s="42"/>
      <c r="H181" s="42"/>
    </row>
    <row r="182" customFormat="false" ht="15.75" hidden="false" customHeight="true" outlineLevel="0" collapsed="false">
      <c r="A182" s="41"/>
      <c r="B182" s="42"/>
      <c r="C182" s="42"/>
      <c r="D182" s="43"/>
      <c r="E182" s="44"/>
      <c r="F182" s="45" t="str">
        <f aca="false">IF($B182="","",N($D182)*IF(N($E182)&gt;0,$E182,IFERROR(INDEX(Costos!$K$23:$K$300,MATCH($B182,Costos!$A$23:$A$300,0)),0)))</f>
        <v/>
      </c>
      <c r="G182" s="42"/>
      <c r="H182" s="42"/>
    </row>
    <row r="183" customFormat="false" ht="15.75" hidden="false" customHeight="true" outlineLevel="0" collapsed="false">
      <c r="A183" s="41"/>
      <c r="B183" s="42"/>
      <c r="C183" s="42"/>
      <c r="D183" s="43"/>
      <c r="E183" s="44"/>
      <c r="F183" s="45" t="str">
        <f aca="false">IF($B183="","",N($D183)*IF(N($E183)&gt;0,$E183,IFERROR(INDEX(Costos!$K$23:$K$300,MATCH($B183,Costos!$A$23:$A$300,0)),0)))</f>
        <v/>
      </c>
      <c r="G183" s="42"/>
      <c r="H183" s="42"/>
    </row>
    <row r="184" customFormat="false" ht="15.75" hidden="false" customHeight="true" outlineLevel="0" collapsed="false">
      <c r="A184" s="41"/>
      <c r="B184" s="42"/>
      <c r="C184" s="42"/>
      <c r="D184" s="43"/>
      <c r="E184" s="44"/>
      <c r="F184" s="45" t="str">
        <f aca="false">IF($B184="","",N($D184)*IF(N($E184)&gt;0,$E184,IFERROR(INDEX(Costos!$K$23:$K$300,MATCH($B184,Costos!$A$23:$A$300,0)),0)))</f>
        <v/>
      </c>
      <c r="G184" s="42"/>
      <c r="H184" s="42"/>
    </row>
    <row r="185" customFormat="false" ht="15.75" hidden="false" customHeight="true" outlineLevel="0" collapsed="false">
      <c r="A185" s="41"/>
      <c r="B185" s="42"/>
      <c r="C185" s="42"/>
      <c r="D185" s="43"/>
      <c r="E185" s="44"/>
      <c r="F185" s="45" t="str">
        <f aca="false">IF($B185="","",N($D185)*IF(N($E185)&gt;0,$E185,IFERROR(INDEX(Costos!$K$23:$K$300,MATCH($B185,Costos!$A$23:$A$300,0)),0)))</f>
        <v/>
      </c>
      <c r="G185" s="42"/>
      <c r="H185" s="42"/>
    </row>
    <row r="186" customFormat="false" ht="15.75" hidden="false" customHeight="true" outlineLevel="0" collapsed="false">
      <c r="A186" s="41"/>
      <c r="B186" s="42"/>
      <c r="C186" s="42"/>
      <c r="D186" s="43"/>
      <c r="E186" s="44"/>
      <c r="F186" s="45" t="str">
        <f aca="false">IF($B186="","",N($D186)*IF(N($E186)&gt;0,$E186,IFERROR(INDEX(Costos!$K$23:$K$300,MATCH($B186,Costos!$A$23:$A$300,0)),0)))</f>
        <v/>
      </c>
      <c r="G186" s="42"/>
      <c r="H186" s="42"/>
    </row>
    <row r="187" customFormat="false" ht="15.75" hidden="false" customHeight="true" outlineLevel="0" collapsed="false">
      <c r="A187" s="41"/>
      <c r="B187" s="42"/>
      <c r="C187" s="42"/>
      <c r="D187" s="43"/>
      <c r="E187" s="44"/>
      <c r="F187" s="45" t="str">
        <f aca="false">IF($B187="","",N($D187)*IF(N($E187)&gt;0,$E187,IFERROR(INDEX(Costos!$K$23:$K$300,MATCH($B187,Costos!$A$23:$A$300,0)),0)))</f>
        <v/>
      </c>
      <c r="G187" s="42"/>
      <c r="H187" s="42"/>
    </row>
    <row r="188" customFormat="false" ht="15.75" hidden="false" customHeight="true" outlineLevel="0" collapsed="false">
      <c r="A188" s="41"/>
      <c r="B188" s="42"/>
      <c r="C188" s="42"/>
      <c r="D188" s="43"/>
      <c r="E188" s="44"/>
      <c r="F188" s="45" t="str">
        <f aca="false">IF($B188="","",N($D188)*IF(N($E188)&gt;0,$E188,IFERROR(INDEX(Costos!$K$23:$K$300,MATCH($B188,Costos!$A$23:$A$300,0)),0)))</f>
        <v/>
      </c>
      <c r="G188" s="42"/>
      <c r="H188" s="42"/>
    </row>
    <row r="189" customFormat="false" ht="15.75" hidden="false" customHeight="true" outlineLevel="0" collapsed="false">
      <c r="A189" s="41"/>
      <c r="B189" s="42"/>
      <c r="C189" s="42"/>
      <c r="D189" s="43"/>
      <c r="E189" s="44"/>
      <c r="F189" s="45" t="str">
        <f aca="false">IF($B189="","",N($D189)*IF(N($E189)&gt;0,$E189,IFERROR(INDEX(Costos!$K$23:$K$300,MATCH($B189,Costos!$A$23:$A$300,0)),0)))</f>
        <v/>
      </c>
      <c r="G189" s="42"/>
      <c r="H189" s="42"/>
    </row>
    <row r="190" customFormat="false" ht="15.75" hidden="false" customHeight="true" outlineLevel="0" collapsed="false">
      <c r="A190" s="41"/>
      <c r="B190" s="42"/>
      <c r="C190" s="42"/>
      <c r="D190" s="43"/>
      <c r="E190" s="44"/>
      <c r="F190" s="45" t="str">
        <f aca="false">IF($B190="","",N($D190)*IF(N($E190)&gt;0,$E190,IFERROR(INDEX(Costos!$K$23:$K$300,MATCH($B190,Costos!$A$23:$A$300,0)),0)))</f>
        <v/>
      </c>
      <c r="G190" s="42"/>
      <c r="H190" s="42"/>
    </row>
    <row r="191" customFormat="false" ht="15.75" hidden="false" customHeight="true" outlineLevel="0" collapsed="false">
      <c r="A191" s="41"/>
      <c r="B191" s="42"/>
      <c r="C191" s="42"/>
      <c r="D191" s="43"/>
      <c r="E191" s="44"/>
      <c r="F191" s="45" t="str">
        <f aca="false">IF($B191="","",N($D191)*IF(N($E191)&gt;0,$E191,IFERROR(INDEX(Costos!$K$23:$K$300,MATCH($B191,Costos!$A$23:$A$300,0)),0)))</f>
        <v/>
      </c>
      <c r="G191" s="42"/>
      <c r="H191" s="42"/>
    </row>
    <row r="192" customFormat="false" ht="15.75" hidden="false" customHeight="true" outlineLevel="0" collapsed="false">
      <c r="A192" s="41"/>
      <c r="B192" s="42"/>
      <c r="C192" s="42"/>
      <c r="D192" s="43"/>
      <c r="E192" s="44"/>
      <c r="F192" s="45" t="str">
        <f aca="false">IF($B192="","",N($D192)*IF(N($E192)&gt;0,$E192,IFERROR(INDEX(Costos!$K$23:$K$300,MATCH($B192,Costos!$A$23:$A$300,0)),0)))</f>
        <v/>
      </c>
      <c r="G192" s="42"/>
      <c r="H192" s="42"/>
    </row>
    <row r="193" customFormat="false" ht="15.75" hidden="false" customHeight="true" outlineLevel="0" collapsed="false">
      <c r="A193" s="41"/>
      <c r="B193" s="42"/>
      <c r="C193" s="42"/>
      <c r="D193" s="43"/>
      <c r="E193" s="44"/>
      <c r="F193" s="45" t="str">
        <f aca="false">IF($B193="","",N($D193)*IF(N($E193)&gt;0,$E193,IFERROR(INDEX(Costos!$K$23:$K$300,MATCH($B193,Costos!$A$23:$A$300,0)),0)))</f>
        <v/>
      </c>
      <c r="G193" s="42"/>
      <c r="H193" s="42"/>
    </row>
    <row r="194" customFormat="false" ht="15.75" hidden="false" customHeight="true" outlineLevel="0" collapsed="false">
      <c r="A194" s="41"/>
      <c r="B194" s="42"/>
      <c r="C194" s="42"/>
      <c r="D194" s="43"/>
      <c r="E194" s="44"/>
      <c r="F194" s="45" t="str">
        <f aca="false">IF($B194="","",N($D194)*IF(N($E194)&gt;0,$E194,IFERROR(INDEX(Costos!$K$23:$K$300,MATCH($B194,Costos!$A$23:$A$300,0)),0)))</f>
        <v/>
      </c>
      <c r="G194" s="42"/>
      <c r="H194" s="42"/>
    </row>
    <row r="195" customFormat="false" ht="15.75" hidden="false" customHeight="true" outlineLevel="0" collapsed="false">
      <c r="A195" s="41"/>
      <c r="B195" s="42"/>
      <c r="C195" s="42"/>
      <c r="D195" s="43"/>
      <c r="E195" s="44"/>
      <c r="F195" s="45" t="str">
        <f aca="false">IF($B195="","",N($D195)*IF(N($E195)&gt;0,$E195,IFERROR(INDEX(Costos!$K$23:$K$300,MATCH($B195,Costos!$A$23:$A$300,0)),0)))</f>
        <v/>
      </c>
      <c r="G195" s="42"/>
      <c r="H195" s="42"/>
    </row>
    <row r="196" customFormat="false" ht="15.75" hidden="false" customHeight="true" outlineLevel="0" collapsed="false">
      <c r="A196" s="41"/>
      <c r="B196" s="42"/>
      <c r="C196" s="42"/>
      <c r="D196" s="43"/>
      <c r="E196" s="44"/>
      <c r="F196" s="45" t="str">
        <f aca="false">IF($B196="","",N($D196)*IF(N($E196)&gt;0,$E196,IFERROR(INDEX(Costos!$K$23:$K$300,MATCH($B196,Costos!$A$23:$A$300,0)),0)))</f>
        <v/>
      </c>
      <c r="G196" s="42"/>
      <c r="H196" s="42"/>
    </row>
    <row r="197" customFormat="false" ht="15.75" hidden="false" customHeight="true" outlineLevel="0" collapsed="false">
      <c r="A197" s="41"/>
      <c r="B197" s="42"/>
      <c r="C197" s="42"/>
      <c r="D197" s="43"/>
      <c r="E197" s="44"/>
      <c r="F197" s="45" t="str">
        <f aca="false">IF($B197="","",N($D197)*IF(N($E197)&gt;0,$E197,IFERROR(INDEX(Costos!$K$23:$K$300,MATCH($B197,Costos!$A$23:$A$300,0)),0)))</f>
        <v/>
      </c>
      <c r="G197" s="42"/>
      <c r="H197" s="42"/>
    </row>
    <row r="198" customFormat="false" ht="15.75" hidden="false" customHeight="true" outlineLevel="0" collapsed="false">
      <c r="A198" s="41"/>
      <c r="B198" s="42"/>
      <c r="C198" s="42"/>
      <c r="D198" s="43"/>
      <c r="E198" s="44"/>
      <c r="F198" s="45" t="str">
        <f aca="false">IF($B198="","",N($D198)*IF(N($E198)&gt;0,$E198,IFERROR(INDEX(Costos!$K$23:$K$300,MATCH($B198,Costos!$A$23:$A$300,0)),0)))</f>
        <v/>
      </c>
      <c r="G198" s="42"/>
      <c r="H198" s="42"/>
    </row>
    <row r="199" customFormat="false" ht="15.75" hidden="false" customHeight="true" outlineLevel="0" collapsed="false">
      <c r="A199" s="41"/>
      <c r="B199" s="42"/>
      <c r="C199" s="42"/>
      <c r="D199" s="43"/>
      <c r="E199" s="44"/>
      <c r="F199" s="45" t="str">
        <f aca="false">IF($B199="","",N($D199)*IF(N($E199)&gt;0,$E199,IFERROR(INDEX(Costos!$K$23:$K$300,MATCH($B199,Costos!$A$23:$A$300,0)),0)))</f>
        <v/>
      </c>
      <c r="G199" s="42"/>
      <c r="H199" s="42"/>
    </row>
    <row r="200" customFormat="false" ht="15.75" hidden="false" customHeight="true" outlineLevel="0" collapsed="false">
      <c r="A200" s="41"/>
      <c r="B200" s="42"/>
      <c r="C200" s="42"/>
      <c r="D200" s="43"/>
      <c r="E200" s="44"/>
      <c r="F200" s="45" t="str">
        <f aca="false">IF($B200="","",N($D200)*IF(N($E200)&gt;0,$E200,IFERROR(INDEX(Costos!$K$23:$K$300,MATCH($B200,Costos!$A$23:$A$300,0)),0)))</f>
        <v/>
      </c>
      <c r="G200" s="42"/>
      <c r="H200" s="42"/>
    </row>
    <row r="201" customFormat="false" ht="15.75" hidden="false" customHeight="true" outlineLevel="0" collapsed="false">
      <c r="A201" s="41"/>
      <c r="B201" s="42"/>
      <c r="C201" s="42"/>
      <c r="D201" s="43"/>
      <c r="E201" s="44"/>
      <c r="F201" s="45" t="str">
        <f aca="false">IF($B201="","",N($D201)*IF(N($E201)&gt;0,$E201,IFERROR(INDEX(Costos!$K$23:$K$300,MATCH($B201,Costos!$A$23:$A$300,0)),0)))</f>
        <v/>
      </c>
      <c r="G201" s="42"/>
      <c r="H201" s="42"/>
    </row>
    <row r="202" customFormat="false" ht="15.75" hidden="false" customHeight="true" outlineLevel="0" collapsed="false">
      <c r="A202" s="41"/>
      <c r="B202" s="42"/>
      <c r="C202" s="42"/>
      <c r="D202" s="43"/>
      <c r="E202" s="44"/>
      <c r="F202" s="45" t="str">
        <f aca="false">IF($B202="","",N($D202)*IF(N($E202)&gt;0,$E202,IFERROR(INDEX(Costos!$K$23:$K$300,MATCH($B202,Costos!$A$23:$A$300,0)),0)))</f>
        <v/>
      </c>
      <c r="G202" s="42"/>
      <c r="H202" s="42"/>
    </row>
    <row r="203" customFormat="false" ht="15.75" hidden="false" customHeight="true" outlineLevel="0" collapsed="false">
      <c r="A203" s="41"/>
      <c r="B203" s="42"/>
      <c r="C203" s="42"/>
      <c r="D203" s="43"/>
      <c r="E203" s="44"/>
      <c r="F203" s="45" t="str">
        <f aca="false">IF($B203="","",N($D203)*IF(N($E203)&gt;0,$E203,IFERROR(INDEX(Costos!$K$23:$K$300,MATCH($B203,Costos!$A$23:$A$300,0)),0)))</f>
        <v/>
      </c>
      <c r="G203" s="42"/>
      <c r="H203" s="42"/>
    </row>
    <row r="204" customFormat="false" ht="15.75" hidden="false" customHeight="true" outlineLevel="0" collapsed="false">
      <c r="A204" s="41"/>
      <c r="B204" s="42"/>
      <c r="C204" s="42"/>
      <c r="D204" s="43"/>
      <c r="E204" s="44"/>
      <c r="F204" s="45" t="str">
        <f aca="false">IF($B204="","",N($D204)*IF(N($E204)&gt;0,$E204,IFERROR(INDEX(Costos!$K$23:$K$300,MATCH($B204,Costos!$A$23:$A$300,0)),0)))</f>
        <v/>
      </c>
      <c r="G204" s="42"/>
      <c r="H204" s="42"/>
    </row>
    <row r="205" customFormat="false" ht="15.75" hidden="false" customHeight="true" outlineLevel="0" collapsed="false">
      <c r="A205" s="41"/>
      <c r="B205" s="42"/>
      <c r="C205" s="42"/>
      <c r="D205" s="43"/>
      <c r="E205" s="44"/>
      <c r="F205" s="45" t="str">
        <f aca="false">IF($B205="","",N($D205)*IF(N($E205)&gt;0,$E205,IFERROR(INDEX(Costos!$K$23:$K$300,MATCH($B205,Costos!$A$23:$A$300,0)),0)))</f>
        <v/>
      </c>
      <c r="G205" s="42"/>
      <c r="H205" s="42"/>
    </row>
    <row r="206" customFormat="false" ht="15.75" hidden="false" customHeight="true" outlineLevel="0" collapsed="false">
      <c r="A206" s="41"/>
      <c r="B206" s="42"/>
      <c r="C206" s="42"/>
      <c r="D206" s="43"/>
      <c r="E206" s="44"/>
      <c r="F206" s="45" t="str">
        <f aca="false">IF($B206="","",N($D206)*IF(N($E206)&gt;0,$E206,IFERROR(INDEX(Costos!$K$23:$K$300,MATCH($B206,Costos!$A$23:$A$300,0)),0)))</f>
        <v/>
      </c>
      <c r="G206" s="42"/>
      <c r="H206" s="42"/>
    </row>
    <row r="207" customFormat="false" ht="15.75" hidden="false" customHeight="true" outlineLevel="0" collapsed="false">
      <c r="A207" s="41"/>
      <c r="B207" s="42"/>
      <c r="C207" s="42"/>
      <c r="D207" s="43"/>
      <c r="E207" s="44"/>
      <c r="F207" s="45" t="str">
        <f aca="false">IF($B207="","",N($D207)*IF(N($E207)&gt;0,$E207,IFERROR(INDEX(Costos!$K$23:$K$300,MATCH($B207,Costos!$A$23:$A$300,0)),0)))</f>
        <v/>
      </c>
      <c r="G207" s="42"/>
      <c r="H207" s="42"/>
    </row>
    <row r="208" customFormat="false" ht="15.75" hidden="false" customHeight="true" outlineLevel="0" collapsed="false">
      <c r="A208" s="41"/>
      <c r="B208" s="42"/>
      <c r="C208" s="42"/>
      <c r="D208" s="43"/>
      <c r="E208" s="44"/>
      <c r="F208" s="45" t="str">
        <f aca="false">IF($B208="","",N($D208)*IF(N($E208)&gt;0,$E208,IFERROR(INDEX(Costos!$K$23:$K$300,MATCH($B208,Costos!$A$23:$A$300,0)),0)))</f>
        <v/>
      </c>
      <c r="G208" s="42"/>
      <c r="H208" s="42"/>
    </row>
    <row r="209" customFormat="false" ht="15.75" hidden="false" customHeight="true" outlineLevel="0" collapsed="false">
      <c r="A209" s="41"/>
      <c r="B209" s="42"/>
      <c r="C209" s="42"/>
      <c r="D209" s="43"/>
      <c r="E209" s="44"/>
      <c r="F209" s="45" t="str">
        <f aca="false">IF($B209="","",N($D209)*IF(N($E209)&gt;0,$E209,IFERROR(INDEX(Costos!$K$23:$K$300,MATCH($B209,Costos!$A$23:$A$300,0)),0)))</f>
        <v/>
      </c>
      <c r="G209" s="42"/>
      <c r="H209" s="42"/>
    </row>
    <row r="210" customFormat="false" ht="15.75" hidden="false" customHeight="true" outlineLevel="0" collapsed="false">
      <c r="A210" s="41"/>
      <c r="B210" s="42"/>
      <c r="C210" s="42"/>
      <c r="D210" s="43"/>
      <c r="E210" s="44"/>
      <c r="F210" s="45" t="str">
        <f aca="false">IF($B210="","",N($D210)*IF(N($E210)&gt;0,$E210,IFERROR(INDEX(Costos!$K$23:$K$300,MATCH($B210,Costos!$A$23:$A$300,0)),0)))</f>
        <v/>
      </c>
      <c r="G210" s="42"/>
      <c r="H210" s="42"/>
    </row>
    <row r="211" customFormat="false" ht="15.75" hidden="false" customHeight="true" outlineLevel="0" collapsed="false">
      <c r="A211" s="41"/>
      <c r="B211" s="42"/>
      <c r="C211" s="42"/>
      <c r="D211" s="43"/>
      <c r="E211" s="44"/>
      <c r="F211" s="45" t="str">
        <f aca="false">IF($B211="","",N($D211)*IF(N($E211)&gt;0,$E211,IFERROR(INDEX(Costos!$K$23:$K$300,MATCH($B211,Costos!$A$23:$A$300,0)),0)))</f>
        <v/>
      </c>
      <c r="G211" s="42"/>
      <c r="H211" s="42"/>
    </row>
    <row r="212" customFormat="false" ht="15.75" hidden="false" customHeight="true" outlineLevel="0" collapsed="false">
      <c r="A212" s="41"/>
      <c r="B212" s="42"/>
      <c r="C212" s="42"/>
      <c r="D212" s="43"/>
      <c r="E212" s="44"/>
      <c r="F212" s="45" t="str">
        <f aca="false">IF($B212="","",N($D212)*IF(N($E212)&gt;0,$E212,IFERROR(INDEX(Costos!$K$23:$K$300,MATCH($B212,Costos!$A$23:$A$300,0)),0)))</f>
        <v/>
      </c>
      <c r="G212" s="42"/>
      <c r="H212" s="42"/>
    </row>
    <row r="213" customFormat="false" ht="15.75" hidden="false" customHeight="true" outlineLevel="0" collapsed="false">
      <c r="A213" s="41"/>
      <c r="B213" s="42"/>
      <c r="C213" s="42"/>
      <c r="D213" s="43"/>
      <c r="E213" s="44"/>
      <c r="F213" s="45" t="str">
        <f aca="false">IF($B213="","",N($D213)*IF(N($E213)&gt;0,$E213,IFERROR(INDEX(Costos!$K$23:$K$300,MATCH($B213,Costos!$A$23:$A$300,0)),0)))</f>
        <v/>
      </c>
      <c r="G213" s="42"/>
      <c r="H213" s="42"/>
    </row>
    <row r="214" customFormat="false" ht="15.75" hidden="false" customHeight="true" outlineLevel="0" collapsed="false">
      <c r="A214" s="41"/>
      <c r="B214" s="42"/>
      <c r="C214" s="42"/>
      <c r="D214" s="43"/>
      <c r="E214" s="44"/>
      <c r="F214" s="45" t="str">
        <f aca="false">IF($B214="","",N($D214)*IF(N($E214)&gt;0,$E214,IFERROR(INDEX(Costos!$K$23:$K$300,MATCH($B214,Costos!$A$23:$A$300,0)),0)))</f>
        <v/>
      </c>
      <c r="G214" s="42"/>
      <c r="H214" s="42"/>
    </row>
    <row r="215" customFormat="false" ht="15.75" hidden="false" customHeight="true" outlineLevel="0" collapsed="false">
      <c r="A215" s="41"/>
      <c r="B215" s="42"/>
      <c r="C215" s="42"/>
      <c r="D215" s="43"/>
      <c r="E215" s="44"/>
      <c r="F215" s="45" t="str">
        <f aca="false">IF($B215="","",N($D215)*IF(N($E215)&gt;0,$E215,IFERROR(INDEX(Costos!$K$23:$K$300,MATCH($B215,Costos!$A$23:$A$300,0)),0)))</f>
        <v/>
      </c>
      <c r="G215" s="42"/>
      <c r="H215" s="42"/>
    </row>
    <row r="216" customFormat="false" ht="15.75" hidden="false" customHeight="true" outlineLevel="0" collapsed="false">
      <c r="A216" s="41"/>
      <c r="B216" s="42"/>
      <c r="C216" s="42"/>
      <c r="D216" s="43"/>
      <c r="E216" s="44"/>
      <c r="F216" s="45" t="str">
        <f aca="false">IF($B216="","",N($D216)*IF(N($E216)&gt;0,$E216,IFERROR(INDEX(Costos!$K$23:$K$300,MATCH($B216,Costos!$A$23:$A$300,0)),0)))</f>
        <v/>
      </c>
      <c r="G216" s="42"/>
      <c r="H216" s="42"/>
    </row>
    <row r="217" customFormat="false" ht="15.75" hidden="false" customHeight="true" outlineLevel="0" collapsed="false">
      <c r="A217" s="41"/>
      <c r="B217" s="42"/>
      <c r="C217" s="42"/>
      <c r="D217" s="43"/>
      <c r="E217" s="44"/>
      <c r="F217" s="45" t="str">
        <f aca="false">IF($B217="","",N($D217)*IF(N($E217)&gt;0,$E217,IFERROR(INDEX(Costos!$K$23:$K$300,MATCH($B217,Costos!$A$23:$A$300,0)),0)))</f>
        <v/>
      </c>
      <c r="G217" s="42"/>
      <c r="H217" s="42"/>
    </row>
    <row r="218" customFormat="false" ht="15.75" hidden="false" customHeight="true" outlineLevel="0" collapsed="false">
      <c r="A218" s="41"/>
      <c r="B218" s="42"/>
      <c r="C218" s="42"/>
      <c r="D218" s="43"/>
      <c r="E218" s="44"/>
      <c r="F218" s="45" t="str">
        <f aca="false">IF($B218="","",N($D218)*IF(N($E218)&gt;0,$E218,IFERROR(INDEX(Costos!$K$23:$K$300,MATCH($B218,Costos!$A$23:$A$300,0)),0)))</f>
        <v/>
      </c>
      <c r="G218" s="42"/>
      <c r="H218" s="42"/>
    </row>
    <row r="219" customFormat="false" ht="15.75" hidden="false" customHeight="true" outlineLevel="0" collapsed="false">
      <c r="A219" s="41"/>
      <c r="B219" s="42"/>
      <c r="C219" s="42"/>
      <c r="D219" s="43"/>
      <c r="E219" s="44"/>
      <c r="F219" s="45" t="str">
        <f aca="false">IF($B219="","",N($D219)*IF(N($E219)&gt;0,$E219,IFERROR(INDEX(Costos!$K$23:$K$300,MATCH($B219,Costos!$A$23:$A$300,0)),0)))</f>
        <v/>
      </c>
      <c r="G219" s="42"/>
      <c r="H219" s="42"/>
    </row>
    <row r="220" customFormat="false" ht="15.75" hidden="false" customHeight="true" outlineLevel="0" collapsed="false">
      <c r="A220" s="41"/>
      <c r="B220" s="42"/>
      <c r="C220" s="42"/>
      <c r="D220" s="43"/>
      <c r="E220" s="44"/>
      <c r="F220" s="45" t="str">
        <f aca="false">IF($B220="","",N($D220)*IF(N($E220)&gt;0,$E220,IFERROR(INDEX(Costos!$K$23:$K$300,MATCH($B220,Costos!$A$23:$A$300,0)),0)))</f>
        <v/>
      </c>
      <c r="G220" s="42"/>
      <c r="H220" s="42"/>
    </row>
    <row r="221" customFormat="false" ht="15.75" hidden="false" customHeight="true" outlineLevel="0" collapsed="false">
      <c r="A221" s="41"/>
      <c r="B221" s="42"/>
      <c r="C221" s="42"/>
      <c r="D221" s="43"/>
      <c r="E221" s="44"/>
      <c r="F221" s="45" t="str">
        <f aca="false">IF($B221="","",N($D221)*IF(N($E221)&gt;0,$E221,IFERROR(INDEX(Costos!$K$23:$K$300,MATCH($B221,Costos!$A$23:$A$300,0)),0)))</f>
        <v/>
      </c>
      <c r="G221" s="42"/>
      <c r="H221" s="42"/>
    </row>
    <row r="222" customFormat="false" ht="15.75" hidden="false" customHeight="true" outlineLevel="0" collapsed="false">
      <c r="A222" s="41"/>
      <c r="B222" s="42"/>
      <c r="C222" s="42"/>
      <c r="D222" s="43"/>
      <c r="E222" s="44"/>
      <c r="F222" s="45" t="str">
        <f aca="false">IF($B222="","",N($D222)*IF(N($E222)&gt;0,$E222,IFERROR(INDEX(Costos!$K$23:$K$300,MATCH($B222,Costos!$A$23:$A$300,0)),0)))</f>
        <v/>
      </c>
      <c r="G222" s="42"/>
      <c r="H222" s="42"/>
    </row>
    <row r="223" customFormat="false" ht="15.75" hidden="false" customHeight="true" outlineLevel="0" collapsed="false">
      <c r="A223" s="41"/>
      <c r="B223" s="42"/>
      <c r="C223" s="42"/>
      <c r="D223" s="43"/>
      <c r="E223" s="44"/>
      <c r="F223" s="45" t="str">
        <f aca="false">IF($B223="","",N($D223)*IF(N($E223)&gt;0,$E223,IFERROR(INDEX(Costos!$K$23:$K$300,MATCH($B223,Costos!$A$23:$A$300,0)),0)))</f>
        <v/>
      </c>
      <c r="G223" s="42"/>
      <c r="H223" s="42"/>
    </row>
    <row r="224" customFormat="false" ht="15.75" hidden="false" customHeight="true" outlineLevel="0" collapsed="false">
      <c r="A224" s="41"/>
      <c r="B224" s="42"/>
      <c r="C224" s="42"/>
      <c r="D224" s="43"/>
      <c r="E224" s="44"/>
      <c r="F224" s="45" t="str">
        <f aca="false">IF($B224="","",N($D224)*IF(N($E224)&gt;0,$E224,IFERROR(INDEX(Costos!$K$23:$K$300,MATCH($B224,Costos!$A$23:$A$300,0)),0)))</f>
        <v/>
      </c>
      <c r="G224" s="42"/>
      <c r="H224" s="42"/>
    </row>
    <row r="225" customFormat="false" ht="15.75" hidden="false" customHeight="true" outlineLevel="0" collapsed="false">
      <c r="A225" s="41"/>
      <c r="B225" s="42"/>
      <c r="C225" s="42"/>
      <c r="D225" s="43"/>
      <c r="E225" s="44"/>
      <c r="F225" s="45" t="str">
        <f aca="false">IF($B225="","",N($D225)*IF(N($E225)&gt;0,$E225,IFERROR(INDEX(Costos!$K$23:$K$300,MATCH($B225,Costos!$A$23:$A$300,0)),0)))</f>
        <v/>
      </c>
      <c r="G225" s="42"/>
      <c r="H225" s="42"/>
    </row>
    <row r="226" customFormat="false" ht="15.75" hidden="false" customHeight="true" outlineLevel="0" collapsed="false">
      <c r="A226" s="41"/>
      <c r="B226" s="42"/>
      <c r="C226" s="42"/>
      <c r="D226" s="43"/>
      <c r="E226" s="44"/>
      <c r="F226" s="45" t="str">
        <f aca="false">IF($B226="","",N($D226)*IF(N($E226)&gt;0,$E226,IFERROR(INDEX(Costos!$K$23:$K$300,MATCH($B226,Costos!$A$23:$A$300,0)),0)))</f>
        <v/>
      </c>
      <c r="G226" s="42"/>
      <c r="H226" s="42"/>
    </row>
    <row r="227" customFormat="false" ht="15.75" hidden="false" customHeight="true" outlineLevel="0" collapsed="false">
      <c r="A227" s="41"/>
      <c r="B227" s="42"/>
      <c r="C227" s="42"/>
      <c r="D227" s="43"/>
      <c r="E227" s="44"/>
      <c r="F227" s="45" t="str">
        <f aca="false">IF($B227="","",N($D227)*IF(N($E227)&gt;0,$E227,IFERROR(INDEX(Costos!$K$23:$K$300,MATCH($B227,Costos!$A$23:$A$300,0)),0)))</f>
        <v/>
      </c>
      <c r="G227" s="42"/>
      <c r="H227" s="42"/>
    </row>
    <row r="228" customFormat="false" ht="15.75" hidden="false" customHeight="true" outlineLevel="0" collapsed="false">
      <c r="A228" s="41"/>
      <c r="B228" s="42"/>
      <c r="C228" s="42"/>
      <c r="D228" s="43"/>
      <c r="E228" s="44"/>
      <c r="F228" s="45" t="str">
        <f aca="false">IF($B228="","",N($D228)*IF(N($E228)&gt;0,$E228,IFERROR(INDEX(Costos!$K$23:$K$300,MATCH($B228,Costos!$A$23:$A$300,0)),0)))</f>
        <v/>
      </c>
      <c r="G228" s="42"/>
      <c r="H228" s="42"/>
    </row>
    <row r="229" customFormat="false" ht="15.75" hidden="false" customHeight="true" outlineLevel="0" collapsed="false">
      <c r="A229" s="41"/>
      <c r="B229" s="42"/>
      <c r="C229" s="42"/>
      <c r="D229" s="43"/>
      <c r="E229" s="44"/>
      <c r="F229" s="45" t="str">
        <f aca="false">IF($B229="","",N($D229)*IF(N($E229)&gt;0,$E229,IFERROR(INDEX(Costos!$K$23:$K$300,MATCH($B229,Costos!$A$23:$A$300,0)),0)))</f>
        <v/>
      </c>
      <c r="G229" s="42"/>
      <c r="H229" s="42"/>
    </row>
    <row r="230" customFormat="false" ht="15.75" hidden="false" customHeight="true" outlineLevel="0" collapsed="false">
      <c r="A230" s="41"/>
      <c r="B230" s="42"/>
      <c r="C230" s="42"/>
      <c r="D230" s="43"/>
      <c r="E230" s="44"/>
      <c r="F230" s="45" t="str">
        <f aca="false">IF($B230="","",N($D230)*IF(N($E230)&gt;0,$E230,IFERROR(INDEX(Costos!$K$23:$K$300,MATCH($B230,Costos!$A$23:$A$300,0)),0)))</f>
        <v/>
      </c>
      <c r="G230" s="42"/>
      <c r="H230" s="42"/>
    </row>
    <row r="231" customFormat="false" ht="15.75" hidden="false" customHeight="true" outlineLevel="0" collapsed="false">
      <c r="A231" s="41"/>
      <c r="B231" s="42"/>
      <c r="C231" s="42"/>
      <c r="D231" s="43"/>
      <c r="E231" s="44"/>
      <c r="F231" s="45" t="str">
        <f aca="false">IF($B231="","",N($D231)*IF(N($E231)&gt;0,$E231,IFERROR(INDEX(Costos!$K$23:$K$300,MATCH($B231,Costos!$A$23:$A$300,0)),0)))</f>
        <v/>
      </c>
      <c r="G231" s="42"/>
      <c r="H231" s="42"/>
    </row>
    <row r="232" customFormat="false" ht="15.75" hidden="false" customHeight="true" outlineLevel="0" collapsed="false">
      <c r="A232" s="41"/>
      <c r="B232" s="42"/>
      <c r="C232" s="42"/>
      <c r="D232" s="43"/>
      <c r="E232" s="44"/>
      <c r="F232" s="45" t="str">
        <f aca="false">IF($B232="","",N($D232)*IF(N($E232)&gt;0,$E232,IFERROR(INDEX(Costos!$K$23:$K$300,MATCH($B232,Costos!$A$23:$A$300,0)),0)))</f>
        <v/>
      </c>
      <c r="G232" s="42"/>
      <c r="H232" s="42"/>
    </row>
    <row r="233" customFormat="false" ht="15.75" hidden="false" customHeight="true" outlineLevel="0" collapsed="false">
      <c r="A233" s="41"/>
      <c r="B233" s="42"/>
      <c r="C233" s="42"/>
      <c r="D233" s="43"/>
      <c r="E233" s="44"/>
      <c r="F233" s="45" t="str">
        <f aca="false">IF($B233="","",N($D233)*IF(N($E233)&gt;0,$E233,IFERROR(INDEX(Costos!$K$23:$K$300,MATCH($B233,Costos!$A$23:$A$300,0)),0)))</f>
        <v/>
      </c>
      <c r="G233" s="42"/>
      <c r="H233" s="42"/>
    </row>
    <row r="234" customFormat="false" ht="15.75" hidden="false" customHeight="true" outlineLevel="0" collapsed="false">
      <c r="A234" s="41"/>
      <c r="B234" s="42"/>
      <c r="C234" s="42"/>
      <c r="D234" s="43"/>
      <c r="E234" s="44"/>
      <c r="F234" s="45" t="str">
        <f aca="false">IF($B234="","",N($D234)*IF(N($E234)&gt;0,$E234,IFERROR(INDEX(Costos!$K$23:$K$300,MATCH($B234,Costos!$A$23:$A$300,0)),0)))</f>
        <v/>
      </c>
      <c r="G234" s="42"/>
      <c r="H234" s="42"/>
    </row>
    <row r="235" customFormat="false" ht="15.75" hidden="false" customHeight="true" outlineLevel="0" collapsed="false">
      <c r="A235" s="41"/>
      <c r="B235" s="42"/>
      <c r="C235" s="42"/>
      <c r="D235" s="43"/>
      <c r="E235" s="44"/>
      <c r="F235" s="45" t="str">
        <f aca="false">IF($B235="","",N($D235)*IF(N($E235)&gt;0,$E235,IFERROR(INDEX(Costos!$K$23:$K$300,MATCH($B235,Costos!$A$23:$A$300,0)),0)))</f>
        <v/>
      </c>
      <c r="G235" s="42"/>
      <c r="H235" s="42"/>
    </row>
    <row r="236" customFormat="false" ht="15.75" hidden="false" customHeight="true" outlineLevel="0" collapsed="false">
      <c r="A236" s="41"/>
      <c r="B236" s="42"/>
      <c r="C236" s="42"/>
      <c r="D236" s="43"/>
      <c r="E236" s="44"/>
      <c r="F236" s="45" t="str">
        <f aca="false">IF($B236="","",N($D236)*IF(N($E236)&gt;0,$E236,IFERROR(INDEX(Costos!$K$23:$K$300,MATCH($B236,Costos!$A$23:$A$300,0)),0)))</f>
        <v/>
      </c>
      <c r="G236" s="42"/>
      <c r="H236" s="42"/>
    </row>
    <row r="237" customFormat="false" ht="15.75" hidden="false" customHeight="true" outlineLevel="0" collapsed="false">
      <c r="A237" s="41"/>
      <c r="B237" s="42"/>
      <c r="C237" s="42"/>
      <c r="D237" s="43"/>
      <c r="E237" s="44"/>
      <c r="F237" s="45" t="str">
        <f aca="false">IF($B237="","",N($D237)*IF(N($E237)&gt;0,$E237,IFERROR(INDEX(Costos!$K$23:$K$300,MATCH($B237,Costos!$A$23:$A$300,0)),0)))</f>
        <v/>
      </c>
      <c r="G237" s="42"/>
      <c r="H237" s="42"/>
    </row>
    <row r="238" customFormat="false" ht="15.75" hidden="false" customHeight="true" outlineLevel="0" collapsed="false">
      <c r="A238" s="41"/>
      <c r="B238" s="42"/>
      <c r="C238" s="42"/>
      <c r="D238" s="43"/>
      <c r="E238" s="44"/>
      <c r="F238" s="45" t="str">
        <f aca="false">IF($B238="","",N($D238)*IF(N($E238)&gt;0,$E238,IFERROR(INDEX(Costos!$K$23:$K$300,MATCH($B238,Costos!$A$23:$A$300,0)),0)))</f>
        <v/>
      </c>
      <c r="G238" s="42"/>
      <c r="H238" s="42"/>
    </row>
    <row r="239" customFormat="false" ht="15.75" hidden="false" customHeight="true" outlineLevel="0" collapsed="false">
      <c r="A239" s="41"/>
      <c r="B239" s="42"/>
      <c r="C239" s="42"/>
      <c r="D239" s="43"/>
      <c r="E239" s="44"/>
      <c r="F239" s="45" t="str">
        <f aca="false">IF($B239="","",N($D239)*IF(N($E239)&gt;0,$E239,IFERROR(INDEX(Costos!$K$23:$K$300,MATCH($B239,Costos!$A$23:$A$300,0)),0)))</f>
        <v/>
      </c>
      <c r="G239" s="42"/>
      <c r="H239" s="42"/>
    </row>
    <row r="240" customFormat="false" ht="15.75" hidden="false" customHeight="true" outlineLevel="0" collapsed="false">
      <c r="A240" s="41"/>
      <c r="B240" s="42"/>
      <c r="C240" s="42"/>
      <c r="D240" s="43"/>
      <c r="E240" s="44"/>
      <c r="F240" s="45" t="str">
        <f aca="false">IF($B240="","",N($D240)*IF(N($E240)&gt;0,$E240,IFERROR(INDEX(Costos!$K$23:$K$300,MATCH($B240,Costos!$A$23:$A$300,0)),0)))</f>
        <v/>
      </c>
      <c r="G240" s="42"/>
      <c r="H240" s="42"/>
    </row>
    <row r="241" customFormat="false" ht="15.75" hidden="false" customHeight="true" outlineLevel="0" collapsed="false">
      <c r="A241" s="41"/>
      <c r="B241" s="42"/>
      <c r="C241" s="42"/>
      <c r="D241" s="43"/>
      <c r="E241" s="44"/>
      <c r="F241" s="45" t="str">
        <f aca="false">IF($B241="","",N($D241)*IF(N($E241)&gt;0,$E241,IFERROR(INDEX(Costos!$K$23:$K$300,MATCH($B241,Costos!$A$23:$A$300,0)),0)))</f>
        <v/>
      </c>
      <c r="G241" s="42"/>
      <c r="H241" s="42"/>
    </row>
    <row r="242" customFormat="false" ht="15.75" hidden="false" customHeight="true" outlineLevel="0" collapsed="false">
      <c r="A242" s="41"/>
      <c r="B242" s="42"/>
      <c r="C242" s="42"/>
      <c r="D242" s="43"/>
      <c r="E242" s="44"/>
      <c r="F242" s="45" t="str">
        <f aca="false">IF($B242="","",N($D242)*IF(N($E242)&gt;0,$E242,IFERROR(INDEX(Costos!$K$23:$K$300,MATCH($B242,Costos!$A$23:$A$300,0)),0)))</f>
        <v/>
      </c>
      <c r="G242" s="42"/>
      <c r="H242" s="42"/>
    </row>
    <row r="243" customFormat="false" ht="15.75" hidden="false" customHeight="true" outlineLevel="0" collapsed="false">
      <c r="A243" s="41"/>
      <c r="B243" s="42"/>
      <c r="C243" s="42"/>
      <c r="D243" s="43"/>
      <c r="E243" s="44"/>
      <c r="F243" s="45" t="str">
        <f aca="false">IF($B243="","",N($D243)*IF(N($E243)&gt;0,$E243,IFERROR(INDEX(Costos!$K$23:$K$300,MATCH($B243,Costos!$A$23:$A$300,0)),0)))</f>
        <v/>
      </c>
      <c r="G243" s="42"/>
      <c r="H243" s="42"/>
    </row>
    <row r="244" customFormat="false" ht="15.75" hidden="false" customHeight="true" outlineLevel="0" collapsed="false">
      <c r="A244" s="41"/>
      <c r="B244" s="42"/>
      <c r="C244" s="42"/>
      <c r="D244" s="43"/>
      <c r="E244" s="44"/>
      <c r="F244" s="45" t="str">
        <f aca="false">IF($B244="","",N($D244)*IF(N($E244)&gt;0,$E244,IFERROR(INDEX(Costos!$K$23:$K$300,MATCH($B244,Costos!$A$23:$A$300,0)),0)))</f>
        <v/>
      </c>
      <c r="G244" s="42"/>
      <c r="H244" s="42"/>
    </row>
    <row r="245" customFormat="false" ht="15.75" hidden="false" customHeight="true" outlineLevel="0" collapsed="false">
      <c r="A245" s="41"/>
      <c r="B245" s="42"/>
      <c r="C245" s="42"/>
      <c r="D245" s="43"/>
      <c r="E245" s="44"/>
      <c r="F245" s="45" t="str">
        <f aca="false">IF($B245="","",N($D245)*IF(N($E245)&gt;0,$E245,IFERROR(INDEX(Costos!$K$23:$K$300,MATCH($B245,Costos!$A$23:$A$300,0)),0)))</f>
        <v/>
      </c>
      <c r="G245" s="42"/>
      <c r="H245" s="42"/>
    </row>
    <row r="246" customFormat="false" ht="15.75" hidden="false" customHeight="true" outlineLevel="0" collapsed="false">
      <c r="A246" s="41"/>
      <c r="B246" s="42"/>
      <c r="C246" s="42"/>
      <c r="D246" s="43"/>
      <c r="E246" s="44"/>
      <c r="F246" s="45" t="str">
        <f aca="false">IF($B246="","",N($D246)*IF(N($E246)&gt;0,$E246,IFERROR(INDEX(Costos!$K$23:$K$300,MATCH($B246,Costos!$A$23:$A$300,0)),0)))</f>
        <v/>
      </c>
      <c r="G246" s="42"/>
      <c r="H246" s="42"/>
    </row>
    <row r="247" customFormat="false" ht="15.75" hidden="false" customHeight="true" outlineLevel="0" collapsed="false">
      <c r="A247" s="41"/>
      <c r="B247" s="42"/>
      <c r="C247" s="42"/>
      <c r="D247" s="43"/>
      <c r="E247" s="44"/>
      <c r="F247" s="45" t="str">
        <f aca="false">IF($B247="","",N($D247)*IF(N($E247)&gt;0,$E247,IFERROR(INDEX(Costos!$K$23:$K$300,MATCH($B247,Costos!$A$23:$A$300,0)),0)))</f>
        <v/>
      </c>
      <c r="G247" s="42"/>
      <c r="H247" s="42"/>
    </row>
    <row r="248" customFormat="false" ht="15.75" hidden="false" customHeight="true" outlineLevel="0" collapsed="false">
      <c r="A248" s="41"/>
      <c r="B248" s="42"/>
      <c r="C248" s="42"/>
      <c r="D248" s="43"/>
      <c r="E248" s="44"/>
      <c r="F248" s="45" t="str">
        <f aca="false">IF($B248="","",N($D248)*IF(N($E248)&gt;0,$E248,IFERROR(INDEX(Costos!$K$23:$K$300,MATCH($B248,Costos!$A$23:$A$300,0)),0)))</f>
        <v/>
      </c>
      <c r="G248" s="42"/>
      <c r="H248" s="42"/>
    </row>
    <row r="249" customFormat="false" ht="15.75" hidden="false" customHeight="true" outlineLevel="0" collapsed="false">
      <c r="A249" s="41"/>
      <c r="B249" s="42"/>
      <c r="C249" s="42"/>
      <c r="D249" s="43"/>
      <c r="E249" s="44"/>
      <c r="F249" s="45" t="str">
        <f aca="false">IF($B249="","",N($D249)*IF(N($E249)&gt;0,$E249,IFERROR(INDEX(Costos!$K$23:$K$300,MATCH($B249,Costos!$A$23:$A$300,0)),0)))</f>
        <v/>
      </c>
      <c r="G249" s="42"/>
      <c r="H249" s="42"/>
    </row>
    <row r="250" customFormat="false" ht="15.75" hidden="false" customHeight="true" outlineLevel="0" collapsed="false">
      <c r="A250" s="41"/>
      <c r="B250" s="42"/>
      <c r="C250" s="42"/>
      <c r="D250" s="43"/>
      <c r="E250" s="44"/>
      <c r="F250" s="45" t="str">
        <f aca="false">IF($B250="","",N($D250)*IF(N($E250)&gt;0,$E250,IFERROR(INDEX(Costos!$K$23:$K$300,MATCH($B250,Costos!$A$23:$A$300,0)),0)))</f>
        <v/>
      </c>
      <c r="G250" s="42"/>
      <c r="H250" s="42"/>
    </row>
    <row r="251" customFormat="false" ht="15.75" hidden="false" customHeight="true" outlineLevel="0" collapsed="false">
      <c r="A251" s="41"/>
      <c r="B251" s="42"/>
      <c r="C251" s="42"/>
      <c r="D251" s="43"/>
      <c r="E251" s="44"/>
      <c r="F251" s="45" t="str">
        <f aca="false">IF($B251="","",N($D251)*IF(N($E251)&gt;0,$E251,IFERROR(INDEX(Costos!$K$23:$K$300,MATCH($B251,Costos!$A$23:$A$300,0)),0)))</f>
        <v/>
      </c>
      <c r="G251" s="42"/>
      <c r="H251" s="42"/>
    </row>
    <row r="252" customFormat="false" ht="15.75" hidden="false" customHeight="true" outlineLevel="0" collapsed="false">
      <c r="A252" s="41"/>
      <c r="B252" s="42"/>
      <c r="C252" s="42"/>
      <c r="D252" s="43"/>
      <c r="E252" s="44"/>
      <c r="F252" s="45" t="str">
        <f aca="false">IF($B252="","",N($D252)*IF(N($E252)&gt;0,$E252,IFERROR(INDEX(Costos!$K$23:$K$300,MATCH($B252,Costos!$A$23:$A$300,0)),0)))</f>
        <v/>
      </c>
      <c r="G252" s="42"/>
      <c r="H252" s="42"/>
    </row>
    <row r="253" customFormat="false" ht="15.75" hidden="false" customHeight="true" outlineLevel="0" collapsed="false">
      <c r="A253" s="41"/>
      <c r="B253" s="42"/>
      <c r="C253" s="42"/>
      <c r="D253" s="43"/>
      <c r="E253" s="44"/>
      <c r="F253" s="45" t="str">
        <f aca="false">IF($B253="","",N($D253)*IF(N($E253)&gt;0,$E253,IFERROR(INDEX(Costos!$K$23:$K$300,MATCH($B253,Costos!$A$23:$A$300,0)),0)))</f>
        <v/>
      </c>
      <c r="G253" s="42"/>
      <c r="H253" s="42"/>
    </row>
    <row r="254" customFormat="false" ht="15.75" hidden="false" customHeight="true" outlineLevel="0" collapsed="false">
      <c r="A254" s="41"/>
      <c r="B254" s="42"/>
      <c r="C254" s="42"/>
      <c r="D254" s="43"/>
      <c r="E254" s="44"/>
      <c r="F254" s="45" t="str">
        <f aca="false">IF($B254="","",N($D254)*IF(N($E254)&gt;0,$E254,IFERROR(INDEX(Costos!$K$23:$K$300,MATCH($B254,Costos!$A$23:$A$300,0)),0)))</f>
        <v/>
      </c>
      <c r="G254" s="42"/>
      <c r="H254" s="42"/>
    </row>
    <row r="255" customFormat="false" ht="15.75" hidden="false" customHeight="true" outlineLevel="0" collapsed="false">
      <c r="A255" s="41"/>
      <c r="B255" s="42"/>
      <c r="C255" s="42"/>
      <c r="D255" s="43"/>
      <c r="E255" s="44"/>
      <c r="F255" s="45" t="str">
        <f aca="false">IF($B255="","",N($D255)*IF(N($E255)&gt;0,$E255,IFERROR(INDEX(Costos!$K$23:$K$300,MATCH($B255,Costos!$A$23:$A$300,0)),0)))</f>
        <v/>
      </c>
      <c r="G255" s="42"/>
      <c r="H255" s="42"/>
    </row>
    <row r="256" customFormat="false" ht="15.75" hidden="false" customHeight="true" outlineLevel="0" collapsed="false">
      <c r="A256" s="41"/>
      <c r="B256" s="42"/>
      <c r="C256" s="42"/>
      <c r="D256" s="43"/>
      <c r="E256" s="44"/>
      <c r="F256" s="45" t="str">
        <f aca="false">IF($B256="","",N($D256)*IF(N($E256)&gt;0,$E256,IFERROR(INDEX(Costos!$K$23:$K$300,MATCH($B256,Costos!$A$23:$A$300,0)),0)))</f>
        <v/>
      </c>
      <c r="G256" s="42"/>
      <c r="H256" s="42"/>
    </row>
    <row r="257" customFormat="false" ht="15.75" hidden="false" customHeight="true" outlineLevel="0" collapsed="false">
      <c r="A257" s="41"/>
      <c r="B257" s="42"/>
      <c r="C257" s="42"/>
      <c r="D257" s="43"/>
      <c r="E257" s="44"/>
      <c r="F257" s="45" t="str">
        <f aca="false">IF($B257="","",N($D257)*IF(N($E257)&gt;0,$E257,IFERROR(INDEX(Costos!$K$23:$K$300,MATCH($B257,Costos!$A$23:$A$300,0)),0)))</f>
        <v/>
      </c>
      <c r="G257" s="42"/>
      <c r="H257" s="42"/>
    </row>
    <row r="258" customFormat="false" ht="15.75" hidden="false" customHeight="true" outlineLevel="0" collapsed="false">
      <c r="A258" s="41"/>
      <c r="B258" s="42"/>
      <c r="C258" s="42"/>
      <c r="D258" s="43"/>
      <c r="E258" s="44"/>
      <c r="F258" s="45" t="str">
        <f aca="false">IF($B258="","",N($D258)*IF(N($E258)&gt;0,$E258,IFERROR(INDEX(Costos!$K$23:$K$300,MATCH($B258,Costos!$A$23:$A$300,0)),0)))</f>
        <v/>
      </c>
      <c r="G258" s="42"/>
      <c r="H258" s="42"/>
    </row>
    <row r="259" customFormat="false" ht="15.75" hidden="false" customHeight="true" outlineLevel="0" collapsed="false">
      <c r="A259" s="41"/>
      <c r="B259" s="42"/>
      <c r="C259" s="42"/>
      <c r="D259" s="43"/>
      <c r="E259" s="44"/>
      <c r="F259" s="45" t="str">
        <f aca="false">IF($B259="","",N($D259)*IF(N($E259)&gt;0,$E259,IFERROR(INDEX(Costos!$K$23:$K$300,MATCH($B259,Costos!$A$23:$A$300,0)),0)))</f>
        <v/>
      </c>
      <c r="G259" s="42"/>
      <c r="H259" s="42"/>
    </row>
    <row r="260" customFormat="false" ht="15.75" hidden="false" customHeight="true" outlineLevel="0" collapsed="false">
      <c r="A260" s="41"/>
      <c r="B260" s="42"/>
      <c r="C260" s="42"/>
      <c r="D260" s="43"/>
      <c r="E260" s="44"/>
      <c r="F260" s="45" t="str">
        <f aca="false">IF($B260="","",N($D260)*IF(N($E260)&gt;0,$E260,IFERROR(INDEX(Costos!$K$23:$K$300,MATCH($B260,Costos!$A$23:$A$300,0)),0)))</f>
        <v/>
      </c>
      <c r="G260" s="42"/>
      <c r="H260" s="42"/>
    </row>
    <row r="261" customFormat="false" ht="15.75" hidden="false" customHeight="true" outlineLevel="0" collapsed="false">
      <c r="A261" s="41"/>
      <c r="B261" s="42"/>
      <c r="C261" s="42"/>
      <c r="D261" s="43"/>
      <c r="E261" s="44"/>
      <c r="F261" s="45" t="str">
        <f aca="false">IF($B261="","",N($D261)*IF(N($E261)&gt;0,$E261,IFERROR(INDEX(Costos!$K$23:$K$300,MATCH($B261,Costos!$A$23:$A$300,0)),0)))</f>
        <v/>
      </c>
      <c r="G261" s="42"/>
      <c r="H261" s="42"/>
    </row>
    <row r="262" customFormat="false" ht="15.75" hidden="false" customHeight="true" outlineLevel="0" collapsed="false">
      <c r="A262" s="41"/>
      <c r="B262" s="42"/>
      <c r="C262" s="42"/>
      <c r="D262" s="43"/>
      <c r="E262" s="44"/>
      <c r="F262" s="45" t="str">
        <f aca="false">IF($B262="","",N($D262)*IF(N($E262)&gt;0,$E262,IFERROR(INDEX(Costos!$K$23:$K$300,MATCH($B262,Costos!$A$23:$A$300,0)),0)))</f>
        <v/>
      </c>
      <c r="G262" s="42"/>
      <c r="H262" s="42"/>
    </row>
    <row r="263" customFormat="false" ht="15.75" hidden="false" customHeight="true" outlineLevel="0" collapsed="false">
      <c r="A263" s="41"/>
      <c r="B263" s="42"/>
      <c r="C263" s="42"/>
      <c r="D263" s="43"/>
      <c r="E263" s="44"/>
      <c r="F263" s="45" t="str">
        <f aca="false">IF($B263="","",N($D263)*IF(N($E263)&gt;0,$E263,IFERROR(INDEX(Costos!$K$23:$K$300,MATCH($B263,Costos!$A$23:$A$300,0)),0)))</f>
        <v/>
      </c>
      <c r="G263" s="42"/>
      <c r="H263" s="42"/>
    </row>
    <row r="264" customFormat="false" ht="15.75" hidden="false" customHeight="true" outlineLevel="0" collapsed="false">
      <c r="A264" s="41"/>
      <c r="B264" s="42"/>
      <c r="C264" s="42"/>
      <c r="D264" s="43"/>
      <c r="E264" s="44"/>
      <c r="F264" s="45" t="str">
        <f aca="false">IF($B264="","",N($D264)*IF(N($E264)&gt;0,$E264,IFERROR(INDEX(Costos!$K$23:$K$300,MATCH($B264,Costos!$A$23:$A$300,0)),0)))</f>
        <v/>
      </c>
      <c r="G264" s="42"/>
      <c r="H264" s="42"/>
    </row>
    <row r="265" customFormat="false" ht="15.75" hidden="false" customHeight="true" outlineLevel="0" collapsed="false">
      <c r="A265" s="41"/>
      <c r="B265" s="42"/>
      <c r="C265" s="42"/>
      <c r="D265" s="43"/>
      <c r="E265" s="44"/>
      <c r="F265" s="45" t="str">
        <f aca="false">IF($B265="","",N($D265)*IF(N($E265)&gt;0,$E265,IFERROR(INDEX(Costos!$K$23:$K$300,MATCH($B265,Costos!$A$23:$A$300,0)),0)))</f>
        <v/>
      </c>
      <c r="G265" s="42"/>
      <c r="H265" s="42"/>
    </row>
    <row r="266" customFormat="false" ht="15.75" hidden="false" customHeight="true" outlineLevel="0" collapsed="false">
      <c r="A266" s="41"/>
      <c r="B266" s="42"/>
      <c r="C266" s="42"/>
      <c r="D266" s="43"/>
      <c r="E266" s="44"/>
      <c r="F266" s="45" t="str">
        <f aca="false">IF($B266="","",N($D266)*IF(N($E266)&gt;0,$E266,IFERROR(INDEX(Costos!$K$23:$K$300,MATCH($B266,Costos!$A$23:$A$300,0)),0)))</f>
        <v/>
      </c>
      <c r="G266" s="42"/>
      <c r="H266" s="42"/>
    </row>
    <row r="267" customFormat="false" ht="15.75" hidden="false" customHeight="true" outlineLevel="0" collapsed="false">
      <c r="A267" s="41"/>
      <c r="B267" s="42"/>
      <c r="C267" s="42"/>
      <c r="D267" s="43"/>
      <c r="E267" s="44"/>
      <c r="F267" s="45" t="str">
        <f aca="false">IF($B267="","",N($D267)*IF(N($E267)&gt;0,$E267,IFERROR(INDEX(Costos!$K$23:$K$300,MATCH($B267,Costos!$A$23:$A$300,0)),0)))</f>
        <v/>
      </c>
      <c r="G267" s="42"/>
      <c r="H267" s="42"/>
    </row>
    <row r="268" customFormat="false" ht="15.75" hidden="false" customHeight="true" outlineLevel="0" collapsed="false">
      <c r="A268" s="41"/>
      <c r="B268" s="42"/>
      <c r="C268" s="42"/>
      <c r="D268" s="43"/>
      <c r="E268" s="44"/>
      <c r="F268" s="45" t="str">
        <f aca="false">IF($B268="","",N($D268)*IF(N($E268)&gt;0,$E268,IFERROR(INDEX(Costos!$K$23:$K$300,MATCH($B268,Costos!$A$23:$A$300,0)),0)))</f>
        <v/>
      </c>
      <c r="G268" s="42"/>
      <c r="H268" s="42"/>
    </row>
    <row r="269" customFormat="false" ht="15.75" hidden="false" customHeight="true" outlineLevel="0" collapsed="false">
      <c r="A269" s="41"/>
      <c r="B269" s="42"/>
      <c r="C269" s="42"/>
      <c r="D269" s="43"/>
      <c r="E269" s="44"/>
      <c r="F269" s="45" t="str">
        <f aca="false">IF($B269="","",N($D269)*IF(N($E269)&gt;0,$E269,IFERROR(INDEX(Costos!$K$23:$K$300,MATCH($B269,Costos!$A$23:$A$300,0)),0)))</f>
        <v/>
      </c>
      <c r="G269" s="42"/>
      <c r="H269" s="42"/>
    </row>
    <row r="270" customFormat="false" ht="15.75" hidden="false" customHeight="true" outlineLevel="0" collapsed="false">
      <c r="A270" s="41"/>
      <c r="B270" s="42"/>
      <c r="C270" s="42"/>
      <c r="D270" s="43"/>
      <c r="E270" s="44"/>
      <c r="F270" s="45" t="str">
        <f aca="false">IF($B270="","",N($D270)*IF(N($E270)&gt;0,$E270,IFERROR(INDEX(Costos!$K$23:$K$300,MATCH($B270,Costos!$A$23:$A$300,0)),0)))</f>
        <v/>
      </c>
      <c r="G270" s="42"/>
      <c r="H270" s="42"/>
    </row>
    <row r="271" customFormat="false" ht="15.75" hidden="false" customHeight="true" outlineLevel="0" collapsed="false">
      <c r="A271" s="41"/>
      <c r="B271" s="42"/>
      <c r="C271" s="42"/>
      <c r="D271" s="43"/>
      <c r="E271" s="44"/>
      <c r="F271" s="45" t="str">
        <f aca="false">IF($B271="","",N($D271)*IF(N($E271)&gt;0,$E271,IFERROR(INDEX(Costos!$K$23:$K$300,MATCH($B271,Costos!$A$23:$A$300,0)),0)))</f>
        <v/>
      </c>
      <c r="G271" s="42"/>
      <c r="H271" s="42"/>
    </row>
    <row r="272" customFormat="false" ht="15.75" hidden="false" customHeight="true" outlineLevel="0" collapsed="false">
      <c r="A272" s="41"/>
      <c r="B272" s="42"/>
      <c r="C272" s="42"/>
      <c r="D272" s="43"/>
      <c r="E272" s="44"/>
      <c r="F272" s="45" t="str">
        <f aca="false">IF($B272="","",N($D272)*IF(N($E272)&gt;0,$E272,IFERROR(INDEX(Costos!$K$23:$K$300,MATCH($B272,Costos!$A$23:$A$300,0)),0)))</f>
        <v/>
      </c>
      <c r="G272" s="42"/>
      <c r="H272" s="42"/>
    </row>
    <row r="273" customFormat="false" ht="15.75" hidden="false" customHeight="true" outlineLevel="0" collapsed="false">
      <c r="A273" s="41"/>
      <c r="B273" s="42"/>
      <c r="C273" s="42"/>
      <c r="D273" s="43"/>
      <c r="E273" s="44"/>
      <c r="F273" s="45" t="str">
        <f aca="false">IF($B273="","",N($D273)*IF(N($E273)&gt;0,$E273,IFERROR(INDEX(Costos!$K$23:$K$300,MATCH($B273,Costos!$A$23:$A$300,0)),0)))</f>
        <v/>
      </c>
      <c r="G273" s="42"/>
      <c r="H273" s="42"/>
    </row>
    <row r="274" customFormat="false" ht="15.75" hidden="false" customHeight="true" outlineLevel="0" collapsed="false">
      <c r="A274" s="41"/>
      <c r="B274" s="42"/>
      <c r="C274" s="42"/>
      <c r="D274" s="43"/>
      <c r="E274" s="44"/>
      <c r="F274" s="45" t="str">
        <f aca="false">IF($B274="","",N($D274)*IF(N($E274)&gt;0,$E274,IFERROR(INDEX(Costos!$K$23:$K$300,MATCH($B274,Costos!$A$23:$A$300,0)),0)))</f>
        <v/>
      </c>
      <c r="G274" s="42"/>
      <c r="H274" s="42"/>
    </row>
    <row r="275" customFormat="false" ht="15.75" hidden="false" customHeight="true" outlineLevel="0" collapsed="false">
      <c r="A275" s="41"/>
      <c r="B275" s="42"/>
      <c r="C275" s="42"/>
      <c r="D275" s="43"/>
      <c r="E275" s="44"/>
      <c r="F275" s="45" t="str">
        <f aca="false">IF($B275="","",N($D275)*IF(N($E275)&gt;0,$E275,IFERROR(INDEX(Costos!$K$23:$K$300,MATCH($B275,Costos!$A$23:$A$300,0)),0)))</f>
        <v/>
      </c>
      <c r="G275" s="42"/>
      <c r="H275" s="42"/>
    </row>
    <row r="276" customFormat="false" ht="15.75" hidden="false" customHeight="true" outlineLevel="0" collapsed="false">
      <c r="A276" s="41"/>
      <c r="B276" s="42"/>
      <c r="C276" s="42"/>
      <c r="D276" s="43"/>
      <c r="E276" s="44"/>
      <c r="F276" s="45" t="str">
        <f aca="false">IF($B276="","",N($D276)*IF(N($E276)&gt;0,$E276,IFERROR(INDEX(Costos!$K$23:$K$300,MATCH($B276,Costos!$A$23:$A$300,0)),0)))</f>
        <v/>
      </c>
      <c r="G276" s="42"/>
      <c r="H276" s="42"/>
    </row>
    <row r="277" customFormat="false" ht="15.75" hidden="false" customHeight="true" outlineLevel="0" collapsed="false">
      <c r="A277" s="41"/>
      <c r="B277" s="42"/>
      <c r="C277" s="42"/>
      <c r="D277" s="43"/>
      <c r="E277" s="44"/>
      <c r="F277" s="45" t="str">
        <f aca="false">IF($B277="","",N($D277)*IF(N($E277)&gt;0,$E277,IFERROR(INDEX(Costos!$K$23:$K$300,MATCH($B277,Costos!$A$23:$A$300,0)),0)))</f>
        <v/>
      </c>
      <c r="G277" s="42"/>
      <c r="H277" s="42"/>
    </row>
    <row r="278" customFormat="false" ht="15.75" hidden="false" customHeight="true" outlineLevel="0" collapsed="false">
      <c r="A278" s="41"/>
      <c r="B278" s="42"/>
      <c r="C278" s="42"/>
      <c r="D278" s="43"/>
      <c r="E278" s="44"/>
      <c r="F278" s="45" t="str">
        <f aca="false">IF($B278="","",N($D278)*IF(N($E278)&gt;0,$E278,IFERROR(INDEX(Costos!$K$23:$K$300,MATCH($B278,Costos!$A$23:$A$300,0)),0)))</f>
        <v/>
      </c>
      <c r="G278" s="42"/>
      <c r="H278" s="42"/>
    </row>
    <row r="279" customFormat="false" ht="15.75" hidden="false" customHeight="true" outlineLevel="0" collapsed="false">
      <c r="A279" s="41"/>
      <c r="B279" s="42"/>
      <c r="C279" s="42"/>
      <c r="D279" s="43"/>
      <c r="E279" s="44"/>
      <c r="F279" s="45" t="str">
        <f aca="false">IF($B279="","",N($D279)*IF(N($E279)&gt;0,$E279,IFERROR(INDEX(Costos!$K$23:$K$300,MATCH($B279,Costos!$A$23:$A$300,0)),0)))</f>
        <v/>
      </c>
      <c r="G279" s="42"/>
      <c r="H279" s="42"/>
    </row>
    <row r="280" customFormat="false" ht="15.75" hidden="false" customHeight="true" outlineLevel="0" collapsed="false">
      <c r="A280" s="41"/>
      <c r="B280" s="42"/>
      <c r="C280" s="42"/>
      <c r="D280" s="43"/>
      <c r="E280" s="44"/>
      <c r="F280" s="45" t="str">
        <f aca="false">IF($B280="","",N($D280)*IF(N($E280)&gt;0,$E280,IFERROR(INDEX(Costos!$K$23:$K$300,MATCH($B280,Costos!$A$23:$A$300,0)),0)))</f>
        <v/>
      </c>
      <c r="G280" s="42"/>
      <c r="H280" s="42"/>
    </row>
    <row r="281" customFormat="false" ht="15.75" hidden="false" customHeight="true" outlineLevel="0" collapsed="false">
      <c r="A281" s="41"/>
      <c r="B281" s="42"/>
      <c r="C281" s="42"/>
      <c r="D281" s="43"/>
      <c r="E281" s="44"/>
      <c r="F281" s="45" t="str">
        <f aca="false">IF($B281="","",N($D281)*IF(N($E281)&gt;0,$E281,IFERROR(INDEX(Costos!$K$23:$K$300,MATCH($B281,Costos!$A$23:$A$300,0)),0)))</f>
        <v/>
      </c>
      <c r="G281" s="42"/>
      <c r="H281" s="42"/>
    </row>
    <row r="282" customFormat="false" ht="15.75" hidden="false" customHeight="true" outlineLevel="0" collapsed="false">
      <c r="A282" s="41"/>
      <c r="B282" s="42"/>
      <c r="C282" s="42"/>
      <c r="D282" s="43"/>
      <c r="E282" s="44"/>
      <c r="F282" s="45" t="str">
        <f aca="false">IF($B282="","",N($D282)*IF(N($E282)&gt;0,$E282,IFERROR(INDEX(Costos!$K$23:$K$300,MATCH($B282,Costos!$A$23:$A$300,0)),0)))</f>
        <v/>
      </c>
      <c r="G282" s="42"/>
      <c r="H282" s="42"/>
    </row>
    <row r="283" customFormat="false" ht="15.75" hidden="false" customHeight="true" outlineLevel="0" collapsed="false">
      <c r="A283" s="41"/>
      <c r="B283" s="42"/>
      <c r="C283" s="42"/>
      <c r="D283" s="43"/>
      <c r="E283" s="44"/>
      <c r="F283" s="45" t="str">
        <f aca="false">IF($B283="","",N($D283)*IF(N($E283)&gt;0,$E283,IFERROR(INDEX(Costos!$K$23:$K$300,MATCH($B283,Costos!$A$23:$A$300,0)),0)))</f>
        <v/>
      </c>
      <c r="G283" s="42"/>
      <c r="H283" s="42"/>
    </row>
    <row r="284" customFormat="false" ht="15.75" hidden="false" customHeight="true" outlineLevel="0" collapsed="false">
      <c r="A284" s="41"/>
      <c r="B284" s="42"/>
      <c r="C284" s="42"/>
      <c r="D284" s="43"/>
      <c r="E284" s="44"/>
      <c r="F284" s="45" t="str">
        <f aca="false">IF($B284="","",N($D284)*IF(N($E284)&gt;0,$E284,IFERROR(INDEX(Costos!$K$23:$K$300,MATCH($B284,Costos!$A$23:$A$300,0)),0)))</f>
        <v/>
      </c>
      <c r="G284" s="42"/>
      <c r="H284" s="42"/>
    </row>
    <row r="285" customFormat="false" ht="15.75" hidden="false" customHeight="true" outlineLevel="0" collapsed="false">
      <c r="A285" s="41"/>
      <c r="B285" s="42"/>
      <c r="C285" s="42"/>
      <c r="D285" s="43"/>
      <c r="E285" s="44"/>
      <c r="F285" s="45" t="str">
        <f aca="false">IF($B285="","",N($D285)*IF(N($E285)&gt;0,$E285,IFERROR(INDEX(Costos!$K$23:$K$300,MATCH($B285,Costos!$A$23:$A$300,0)),0)))</f>
        <v/>
      </c>
      <c r="G285" s="42"/>
      <c r="H285" s="42"/>
    </row>
    <row r="286" customFormat="false" ht="15.75" hidden="false" customHeight="true" outlineLevel="0" collapsed="false">
      <c r="A286" s="41"/>
      <c r="B286" s="42"/>
      <c r="C286" s="42"/>
      <c r="D286" s="43"/>
      <c r="E286" s="44"/>
      <c r="F286" s="45" t="str">
        <f aca="false">IF($B286="","",N($D286)*IF(N($E286)&gt;0,$E286,IFERROR(INDEX(Costos!$K$23:$K$300,MATCH($B286,Costos!$A$23:$A$300,0)),0)))</f>
        <v/>
      </c>
      <c r="G286" s="42"/>
      <c r="H286" s="42"/>
    </row>
    <row r="287" customFormat="false" ht="15.75" hidden="false" customHeight="true" outlineLevel="0" collapsed="false">
      <c r="A287" s="41"/>
      <c r="B287" s="42"/>
      <c r="C287" s="42"/>
      <c r="D287" s="43"/>
      <c r="E287" s="44"/>
      <c r="F287" s="45" t="str">
        <f aca="false">IF($B287="","",N($D287)*IF(N($E287)&gt;0,$E287,IFERROR(INDEX(Costos!$K$23:$K$300,MATCH($B287,Costos!$A$23:$A$300,0)),0)))</f>
        <v/>
      </c>
      <c r="G287" s="42"/>
      <c r="H287" s="42"/>
    </row>
    <row r="288" customFormat="false" ht="15.75" hidden="false" customHeight="true" outlineLevel="0" collapsed="false">
      <c r="A288" s="41"/>
      <c r="B288" s="42"/>
      <c r="C288" s="42"/>
      <c r="D288" s="43"/>
      <c r="E288" s="44"/>
      <c r="F288" s="45" t="str">
        <f aca="false">IF($B288="","",N($D288)*IF(N($E288)&gt;0,$E288,IFERROR(INDEX(Costos!$K$23:$K$300,MATCH($B288,Costos!$A$23:$A$300,0)),0)))</f>
        <v/>
      </c>
      <c r="G288" s="42"/>
      <c r="H288" s="42"/>
    </row>
    <row r="289" customFormat="false" ht="15.75" hidden="false" customHeight="true" outlineLevel="0" collapsed="false">
      <c r="A289" s="41"/>
      <c r="B289" s="42"/>
      <c r="C289" s="42"/>
      <c r="D289" s="43"/>
      <c r="E289" s="44"/>
      <c r="F289" s="45" t="str">
        <f aca="false">IF($B289="","",N($D289)*IF(N($E289)&gt;0,$E289,IFERROR(INDEX(Costos!$K$23:$K$300,MATCH($B289,Costos!$A$23:$A$300,0)),0)))</f>
        <v/>
      </c>
      <c r="G289" s="42"/>
      <c r="H289" s="42"/>
    </row>
    <row r="290" customFormat="false" ht="15.75" hidden="false" customHeight="true" outlineLevel="0" collapsed="false">
      <c r="A290" s="41"/>
      <c r="B290" s="42"/>
      <c r="C290" s="42"/>
      <c r="D290" s="43"/>
      <c r="E290" s="44"/>
      <c r="F290" s="45" t="str">
        <f aca="false">IF($B290="","",N($D290)*IF(N($E290)&gt;0,$E290,IFERROR(INDEX(Costos!$K$23:$K$300,MATCH($B290,Costos!$A$23:$A$300,0)),0)))</f>
        <v/>
      </c>
      <c r="G290" s="42"/>
      <c r="H290" s="42"/>
    </row>
    <row r="291" customFormat="false" ht="15.75" hidden="false" customHeight="true" outlineLevel="0" collapsed="false">
      <c r="A291" s="41"/>
      <c r="B291" s="42"/>
      <c r="C291" s="42"/>
      <c r="D291" s="43"/>
      <c r="E291" s="44"/>
      <c r="F291" s="45" t="str">
        <f aca="false">IF($B291="","",N($D291)*IF(N($E291)&gt;0,$E291,IFERROR(INDEX(Costos!$K$23:$K$300,MATCH($B291,Costos!$A$23:$A$300,0)),0)))</f>
        <v/>
      </c>
      <c r="G291" s="42"/>
      <c r="H291" s="42"/>
    </row>
    <row r="292" customFormat="false" ht="15.75" hidden="false" customHeight="true" outlineLevel="0" collapsed="false">
      <c r="A292" s="41"/>
      <c r="B292" s="42"/>
      <c r="C292" s="42"/>
      <c r="D292" s="43"/>
      <c r="E292" s="44"/>
      <c r="F292" s="45" t="str">
        <f aca="false">IF($B292="","",N($D292)*IF(N($E292)&gt;0,$E292,IFERROR(INDEX(Costos!$K$23:$K$300,MATCH($B292,Costos!$A$23:$A$300,0)),0)))</f>
        <v/>
      </c>
      <c r="G292" s="42"/>
      <c r="H292" s="42"/>
    </row>
    <row r="293" customFormat="false" ht="15.75" hidden="false" customHeight="true" outlineLevel="0" collapsed="false">
      <c r="A293" s="41"/>
      <c r="B293" s="42"/>
      <c r="C293" s="42"/>
      <c r="D293" s="43"/>
      <c r="E293" s="44"/>
      <c r="F293" s="45" t="str">
        <f aca="false">IF($B293="","",N($D293)*IF(N($E293)&gt;0,$E293,IFERROR(INDEX(Costos!$K$23:$K$300,MATCH($B293,Costos!$A$23:$A$300,0)),0)))</f>
        <v/>
      </c>
      <c r="G293" s="42"/>
      <c r="H293" s="42"/>
    </row>
    <row r="294" customFormat="false" ht="15.75" hidden="false" customHeight="true" outlineLevel="0" collapsed="false">
      <c r="A294" s="41"/>
      <c r="B294" s="42"/>
      <c r="C294" s="42"/>
      <c r="D294" s="43"/>
      <c r="E294" s="44"/>
      <c r="F294" s="45" t="str">
        <f aca="false">IF($B294="","",N($D294)*IF(N($E294)&gt;0,$E294,IFERROR(INDEX(Costos!$K$23:$K$300,MATCH($B294,Costos!$A$23:$A$300,0)),0)))</f>
        <v/>
      </c>
      <c r="G294" s="42"/>
      <c r="H294" s="42"/>
    </row>
    <row r="295" customFormat="false" ht="15.75" hidden="false" customHeight="true" outlineLevel="0" collapsed="false">
      <c r="A295" s="41"/>
      <c r="B295" s="42"/>
      <c r="C295" s="42"/>
      <c r="D295" s="43"/>
      <c r="E295" s="44"/>
      <c r="F295" s="45" t="str">
        <f aca="false">IF($B295="","",N($D295)*IF(N($E295)&gt;0,$E295,IFERROR(INDEX(Costos!$K$23:$K$300,MATCH($B295,Costos!$A$23:$A$300,0)),0)))</f>
        <v/>
      </c>
      <c r="G295" s="42"/>
      <c r="H295" s="42"/>
    </row>
    <row r="296" customFormat="false" ht="15.75" hidden="false" customHeight="true" outlineLevel="0" collapsed="false">
      <c r="A296" s="41"/>
      <c r="B296" s="42"/>
      <c r="C296" s="42"/>
      <c r="D296" s="43"/>
      <c r="E296" s="44"/>
      <c r="F296" s="45" t="str">
        <f aca="false">IF($B296="","",N($D296)*IF(N($E296)&gt;0,$E296,IFERROR(INDEX(Costos!$K$23:$K$300,MATCH($B296,Costos!$A$23:$A$300,0)),0)))</f>
        <v/>
      </c>
      <c r="G296" s="42"/>
      <c r="H296" s="42"/>
    </row>
    <row r="297" customFormat="false" ht="15.75" hidden="false" customHeight="true" outlineLevel="0" collapsed="false">
      <c r="A297" s="41"/>
      <c r="B297" s="42"/>
      <c r="C297" s="42"/>
      <c r="D297" s="43"/>
      <c r="E297" s="44"/>
      <c r="F297" s="45" t="str">
        <f aca="false">IF($B297="","",N($D297)*IF(N($E297)&gt;0,$E297,IFERROR(INDEX(Costos!$K$23:$K$300,MATCH($B297,Costos!$A$23:$A$300,0)),0)))</f>
        <v/>
      </c>
      <c r="G297" s="42"/>
      <c r="H297" s="42"/>
    </row>
    <row r="298" customFormat="false" ht="15.75" hidden="false" customHeight="true" outlineLevel="0" collapsed="false">
      <c r="A298" s="41"/>
      <c r="B298" s="42"/>
      <c r="C298" s="42"/>
      <c r="D298" s="43"/>
      <c r="E298" s="44"/>
      <c r="F298" s="45" t="str">
        <f aca="false">IF($B298="","",N($D298)*IF(N($E298)&gt;0,$E298,IFERROR(INDEX(Costos!$K$23:$K$300,MATCH($B298,Costos!$A$23:$A$300,0)),0)))</f>
        <v/>
      </c>
      <c r="G298" s="42"/>
      <c r="H298" s="42"/>
    </row>
    <row r="299" customFormat="false" ht="15.75" hidden="false" customHeight="true" outlineLevel="0" collapsed="false">
      <c r="A299" s="41"/>
      <c r="B299" s="42"/>
      <c r="C299" s="42"/>
      <c r="D299" s="43"/>
      <c r="E299" s="44"/>
      <c r="F299" s="45" t="str">
        <f aca="false">IF($B299="","",N($D299)*IF(N($E299)&gt;0,$E299,IFERROR(INDEX(Costos!$K$23:$K$300,MATCH($B299,Costos!$A$23:$A$300,0)),0)))</f>
        <v/>
      </c>
      <c r="G299" s="42"/>
      <c r="H299" s="42"/>
    </row>
    <row r="300" customFormat="false" ht="15.75" hidden="false" customHeight="true" outlineLevel="0" collapsed="false">
      <c r="A300" s="41"/>
      <c r="B300" s="42"/>
      <c r="C300" s="42"/>
      <c r="D300" s="43"/>
      <c r="E300" s="44"/>
      <c r="F300" s="45" t="str">
        <f aca="false">IF($B300="","",N($D300)*IF(N($E300)&gt;0,$E300,IFERROR(INDEX(Costos!$K$23:$K$300,MATCH($B300,Costos!$A$23:$A$300,0)),0)))</f>
        <v/>
      </c>
      <c r="G300" s="42"/>
      <c r="H300" s="42"/>
    </row>
    <row r="301" customFormat="false" ht="15.75" hidden="false" customHeight="true" outlineLevel="0" collapsed="false">
      <c r="A301" s="41"/>
      <c r="B301" s="42"/>
      <c r="C301" s="42"/>
      <c r="D301" s="43"/>
      <c r="E301" s="44"/>
      <c r="F301" s="45" t="str">
        <f aca="false">IF($B301="","",N($D301)*IF(N($E301)&gt;0,$E301,IFERROR(INDEX(Costos!$K$23:$K$300,MATCH($B301,Costos!$A$23:$A$300,0)),0)))</f>
        <v/>
      </c>
      <c r="G301" s="42"/>
      <c r="H301" s="42"/>
    </row>
    <row r="302" customFormat="false" ht="15.75" hidden="false" customHeight="true" outlineLevel="0" collapsed="false">
      <c r="A302" s="41"/>
      <c r="B302" s="42"/>
      <c r="C302" s="42"/>
      <c r="D302" s="43"/>
      <c r="E302" s="44"/>
      <c r="F302" s="45" t="str">
        <f aca="false">IF($B302="","",N($D302)*IF(N($E302)&gt;0,$E302,IFERROR(INDEX(Costos!$K$23:$K$300,MATCH($B302,Costos!$A$23:$A$300,0)),0)))</f>
        <v/>
      </c>
      <c r="G302" s="42"/>
      <c r="H302" s="42"/>
    </row>
    <row r="303" customFormat="false" ht="15.75" hidden="false" customHeight="true" outlineLevel="0" collapsed="false">
      <c r="A303" s="41"/>
      <c r="B303" s="42"/>
      <c r="C303" s="42"/>
      <c r="D303" s="43"/>
      <c r="E303" s="44"/>
      <c r="F303" s="45" t="str">
        <f aca="false">IF($B303="","",N($D303)*IF(N($E303)&gt;0,$E303,IFERROR(INDEX(Costos!$K$23:$K$300,MATCH($B303,Costos!$A$23:$A$300,0)),0)))</f>
        <v/>
      </c>
      <c r="G303" s="42"/>
      <c r="H303" s="42"/>
    </row>
    <row r="304" customFormat="false" ht="15.75" hidden="false" customHeight="true" outlineLevel="0" collapsed="false">
      <c r="A304" s="41"/>
      <c r="B304" s="42"/>
      <c r="C304" s="42"/>
      <c r="D304" s="43"/>
      <c r="E304" s="44"/>
      <c r="F304" s="45" t="str">
        <f aca="false">IF($B304="","",N($D304)*IF(N($E304)&gt;0,$E304,IFERROR(INDEX(Costos!$K$23:$K$300,MATCH($B304,Costos!$A$23:$A$300,0)),0)))</f>
        <v/>
      </c>
      <c r="G304" s="42"/>
      <c r="H304" s="42"/>
    </row>
    <row r="305" customFormat="false" ht="15.75" hidden="false" customHeight="true" outlineLevel="0" collapsed="false">
      <c r="A305" s="41"/>
      <c r="B305" s="42"/>
      <c r="C305" s="42"/>
      <c r="D305" s="43"/>
      <c r="E305" s="44"/>
      <c r="F305" s="45" t="str">
        <f aca="false">IF($B305="","",N($D305)*IF(N($E305)&gt;0,$E305,IFERROR(INDEX(Costos!$K$23:$K$300,MATCH($B305,Costos!$A$23:$A$300,0)),0)))</f>
        <v/>
      </c>
      <c r="G305" s="42"/>
      <c r="H305" s="42"/>
    </row>
    <row r="306" customFormat="false" ht="15.75" hidden="false" customHeight="true" outlineLevel="0" collapsed="false">
      <c r="A306" s="41"/>
      <c r="B306" s="42"/>
      <c r="C306" s="42"/>
      <c r="D306" s="43"/>
      <c r="E306" s="44"/>
      <c r="F306" s="45" t="str">
        <f aca="false">IF($B306="","",N($D306)*IF(N($E306)&gt;0,$E306,IFERROR(INDEX(Costos!$K$23:$K$300,MATCH($B306,Costos!$A$23:$A$300,0)),0)))</f>
        <v/>
      </c>
      <c r="G306" s="42"/>
      <c r="H306" s="42"/>
    </row>
    <row r="307" customFormat="false" ht="15.75" hidden="false" customHeight="true" outlineLevel="0" collapsed="false">
      <c r="A307" s="41"/>
      <c r="B307" s="42"/>
      <c r="C307" s="42"/>
      <c r="D307" s="43"/>
      <c r="E307" s="44"/>
      <c r="F307" s="45" t="str">
        <f aca="false">IF($B307="","",N($D307)*IF(N($E307)&gt;0,$E307,IFERROR(INDEX(Costos!$K$23:$K$300,MATCH($B307,Costos!$A$23:$A$300,0)),0)))</f>
        <v/>
      </c>
      <c r="G307" s="42"/>
      <c r="H307" s="42"/>
    </row>
    <row r="308" customFormat="false" ht="15.75" hidden="false" customHeight="true" outlineLevel="0" collapsed="false">
      <c r="A308" s="41"/>
      <c r="B308" s="42"/>
      <c r="C308" s="42"/>
      <c r="D308" s="43"/>
      <c r="E308" s="44"/>
      <c r="F308" s="45" t="str">
        <f aca="false">IF($B308="","",N($D308)*IF(N($E308)&gt;0,$E308,IFERROR(INDEX(Costos!$K$23:$K$300,MATCH($B308,Costos!$A$23:$A$300,0)),0)))</f>
        <v/>
      </c>
      <c r="G308" s="42"/>
      <c r="H308" s="42"/>
    </row>
    <row r="309" customFormat="false" ht="15.75" hidden="false" customHeight="true" outlineLevel="0" collapsed="false">
      <c r="A309" s="41"/>
      <c r="B309" s="42"/>
      <c r="C309" s="42"/>
      <c r="D309" s="43"/>
      <c r="E309" s="44"/>
      <c r="F309" s="45" t="str">
        <f aca="false">IF($B309="","",N($D309)*IF(N($E309)&gt;0,$E309,IFERROR(INDEX(Costos!$K$23:$K$300,MATCH($B309,Costos!$A$23:$A$300,0)),0)))</f>
        <v/>
      </c>
      <c r="G309" s="42"/>
      <c r="H309" s="42"/>
    </row>
    <row r="310" customFormat="false" ht="15.75" hidden="false" customHeight="true" outlineLevel="0" collapsed="false">
      <c r="A310" s="41"/>
      <c r="B310" s="42"/>
      <c r="C310" s="42"/>
      <c r="D310" s="43"/>
      <c r="E310" s="44"/>
      <c r="F310" s="45" t="str">
        <f aca="false">IF($B310="","",N($D310)*IF(N($E310)&gt;0,$E310,IFERROR(INDEX(Costos!$K$23:$K$300,MATCH($B310,Costos!$A$23:$A$300,0)),0)))</f>
        <v/>
      </c>
      <c r="G310" s="42"/>
      <c r="H310" s="42"/>
    </row>
    <row r="311" customFormat="false" ht="15.75" hidden="false" customHeight="true" outlineLevel="0" collapsed="false">
      <c r="A311" s="41"/>
      <c r="B311" s="42"/>
      <c r="C311" s="42"/>
      <c r="D311" s="43"/>
      <c r="E311" s="44"/>
      <c r="F311" s="45" t="str">
        <f aca="false">IF($B311="","",N($D311)*IF(N($E311)&gt;0,$E311,IFERROR(INDEX(Costos!$K$23:$K$300,MATCH($B311,Costos!$A$23:$A$300,0)),0)))</f>
        <v/>
      </c>
      <c r="G311" s="42"/>
      <c r="H311" s="42"/>
    </row>
    <row r="312" customFormat="false" ht="15.75" hidden="false" customHeight="true" outlineLevel="0" collapsed="false">
      <c r="A312" s="41"/>
      <c r="B312" s="42"/>
      <c r="C312" s="42"/>
      <c r="D312" s="43"/>
      <c r="E312" s="44"/>
      <c r="F312" s="45" t="str">
        <f aca="false">IF($B312="","",N($D312)*IF(N($E312)&gt;0,$E312,IFERROR(INDEX(Costos!$K$23:$K$300,MATCH($B312,Costos!$A$23:$A$300,0)),0)))</f>
        <v/>
      </c>
      <c r="G312" s="42"/>
      <c r="H312" s="42"/>
    </row>
    <row r="313" customFormat="false" ht="15.75" hidden="false" customHeight="true" outlineLevel="0" collapsed="false">
      <c r="A313" s="41"/>
      <c r="B313" s="42"/>
      <c r="C313" s="42"/>
      <c r="D313" s="43"/>
      <c r="E313" s="44"/>
      <c r="F313" s="45" t="str">
        <f aca="false">IF($B313="","",N($D313)*IF(N($E313)&gt;0,$E313,IFERROR(INDEX(Costos!$K$23:$K$300,MATCH($B313,Costos!$A$23:$A$300,0)),0)))</f>
        <v/>
      </c>
      <c r="G313" s="42"/>
      <c r="H313" s="42"/>
    </row>
    <row r="314" customFormat="false" ht="15.75" hidden="false" customHeight="true" outlineLevel="0" collapsed="false">
      <c r="A314" s="41"/>
      <c r="B314" s="42"/>
      <c r="C314" s="42"/>
      <c r="D314" s="43"/>
      <c r="E314" s="44"/>
      <c r="F314" s="45" t="str">
        <f aca="false">IF($B314="","",N($D314)*IF(N($E314)&gt;0,$E314,IFERROR(INDEX(Costos!$K$23:$K$300,MATCH($B314,Costos!$A$23:$A$300,0)),0)))</f>
        <v/>
      </c>
      <c r="G314" s="42"/>
      <c r="H314" s="42"/>
    </row>
    <row r="315" customFormat="false" ht="15.75" hidden="false" customHeight="true" outlineLevel="0" collapsed="false">
      <c r="A315" s="41"/>
      <c r="B315" s="42"/>
      <c r="C315" s="42"/>
      <c r="D315" s="43"/>
      <c r="E315" s="44"/>
      <c r="F315" s="45" t="str">
        <f aca="false">IF($B315="","",N($D315)*IF(N($E315)&gt;0,$E315,IFERROR(INDEX(Costos!$K$23:$K$300,MATCH($B315,Costos!$A$23:$A$300,0)),0)))</f>
        <v/>
      </c>
      <c r="G315" s="42"/>
      <c r="H315" s="42"/>
    </row>
    <row r="316" customFormat="false" ht="15.75" hidden="false" customHeight="true" outlineLevel="0" collapsed="false">
      <c r="A316" s="41"/>
      <c r="B316" s="42"/>
      <c r="C316" s="42"/>
      <c r="D316" s="43"/>
      <c r="E316" s="44"/>
      <c r="F316" s="45" t="str">
        <f aca="false">IF($B316="","",N($D316)*IF(N($E316)&gt;0,$E316,IFERROR(INDEX(Costos!$K$23:$K$300,MATCH($B316,Costos!$A$23:$A$300,0)),0)))</f>
        <v/>
      </c>
      <c r="G316" s="42"/>
      <c r="H316" s="42"/>
    </row>
    <row r="317" customFormat="false" ht="15.75" hidden="false" customHeight="true" outlineLevel="0" collapsed="false">
      <c r="A317" s="41"/>
      <c r="B317" s="42"/>
      <c r="C317" s="42"/>
      <c r="D317" s="43"/>
      <c r="E317" s="44"/>
      <c r="F317" s="45" t="str">
        <f aca="false">IF($B317="","",N($D317)*IF(N($E317)&gt;0,$E317,IFERROR(INDEX(Costos!$K$23:$K$300,MATCH($B317,Costos!$A$23:$A$300,0)),0)))</f>
        <v/>
      </c>
      <c r="G317" s="42"/>
      <c r="H317" s="42"/>
    </row>
    <row r="318" customFormat="false" ht="15.75" hidden="false" customHeight="true" outlineLevel="0" collapsed="false">
      <c r="A318" s="41"/>
      <c r="B318" s="42"/>
      <c r="C318" s="42"/>
      <c r="D318" s="43"/>
      <c r="E318" s="44"/>
      <c r="F318" s="45" t="str">
        <f aca="false">IF($B318="","",N($D318)*IF(N($E318)&gt;0,$E318,IFERROR(INDEX(Costos!$K$23:$K$300,MATCH($B318,Costos!$A$23:$A$300,0)),0)))</f>
        <v/>
      </c>
      <c r="G318" s="42"/>
      <c r="H318" s="42"/>
    </row>
    <row r="319" customFormat="false" ht="15.75" hidden="false" customHeight="true" outlineLevel="0" collapsed="false">
      <c r="A319" s="41"/>
      <c r="B319" s="42"/>
      <c r="C319" s="42"/>
      <c r="D319" s="43"/>
      <c r="E319" s="44"/>
      <c r="F319" s="45" t="str">
        <f aca="false">IF($B319="","",N($D319)*IF(N($E319)&gt;0,$E319,IFERROR(INDEX(Costos!$K$23:$K$300,MATCH($B319,Costos!$A$23:$A$300,0)),0)))</f>
        <v/>
      </c>
      <c r="G319" s="42"/>
      <c r="H319" s="42"/>
    </row>
    <row r="320" customFormat="false" ht="15.75" hidden="false" customHeight="true" outlineLevel="0" collapsed="false">
      <c r="A320" s="41"/>
      <c r="B320" s="42"/>
      <c r="C320" s="42"/>
      <c r="D320" s="43"/>
      <c r="E320" s="44"/>
      <c r="F320" s="45" t="str">
        <f aca="false">IF($B320="","",N($D320)*IF(N($E320)&gt;0,$E320,IFERROR(INDEX(Costos!$K$23:$K$300,MATCH($B320,Costos!$A$23:$A$300,0)),0)))</f>
        <v/>
      </c>
      <c r="G320" s="42"/>
      <c r="H320" s="42"/>
    </row>
    <row r="321" customFormat="false" ht="15.75" hidden="false" customHeight="true" outlineLevel="0" collapsed="false">
      <c r="A321" s="41"/>
      <c r="B321" s="42"/>
      <c r="C321" s="42"/>
      <c r="D321" s="43"/>
      <c r="E321" s="44"/>
      <c r="F321" s="45" t="str">
        <f aca="false">IF($B321="","",N($D321)*IF(N($E321)&gt;0,$E321,IFERROR(INDEX(Costos!$K$23:$K$300,MATCH($B321,Costos!$A$23:$A$300,0)),0)))</f>
        <v/>
      </c>
      <c r="G321" s="42"/>
      <c r="H321" s="42"/>
    </row>
    <row r="322" customFormat="false" ht="15.75" hidden="false" customHeight="true" outlineLevel="0" collapsed="false">
      <c r="A322" s="41"/>
      <c r="B322" s="42"/>
      <c r="C322" s="42"/>
      <c r="D322" s="43"/>
      <c r="E322" s="44"/>
      <c r="F322" s="45" t="str">
        <f aca="false">IF($B322="","",N($D322)*IF(N($E322)&gt;0,$E322,IFERROR(INDEX(Costos!$K$23:$K$300,MATCH($B322,Costos!$A$23:$A$300,0)),0)))</f>
        <v/>
      </c>
      <c r="G322" s="42"/>
      <c r="H322" s="42"/>
    </row>
    <row r="323" customFormat="false" ht="15.75" hidden="false" customHeight="true" outlineLevel="0" collapsed="false">
      <c r="A323" s="41"/>
      <c r="B323" s="42"/>
      <c r="C323" s="42"/>
      <c r="D323" s="43"/>
      <c r="E323" s="44"/>
      <c r="F323" s="45" t="str">
        <f aca="false">IF($B323="","",N($D323)*IF(N($E323)&gt;0,$E323,IFERROR(INDEX(Costos!$K$23:$K$300,MATCH($B323,Costos!$A$23:$A$300,0)),0)))</f>
        <v/>
      </c>
      <c r="G323" s="42"/>
      <c r="H323" s="42"/>
    </row>
    <row r="324" customFormat="false" ht="15.75" hidden="false" customHeight="true" outlineLevel="0" collapsed="false">
      <c r="A324" s="41"/>
      <c r="B324" s="42"/>
      <c r="C324" s="42"/>
      <c r="D324" s="43"/>
      <c r="E324" s="44"/>
      <c r="F324" s="45" t="str">
        <f aca="false">IF($B324="","",N($D324)*IF(N($E324)&gt;0,$E324,IFERROR(INDEX(Costos!$K$23:$K$300,MATCH($B324,Costos!$A$23:$A$300,0)),0)))</f>
        <v/>
      </c>
      <c r="G324" s="42"/>
      <c r="H324" s="42"/>
    </row>
    <row r="325" customFormat="false" ht="15.75" hidden="false" customHeight="true" outlineLevel="0" collapsed="false">
      <c r="A325" s="41"/>
      <c r="B325" s="42"/>
      <c r="C325" s="42"/>
      <c r="D325" s="43"/>
      <c r="E325" s="44"/>
      <c r="F325" s="45" t="str">
        <f aca="false">IF($B325="","",N($D325)*IF(N($E325)&gt;0,$E325,IFERROR(INDEX(Costos!$K$23:$K$300,MATCH($B325,Costos!$A$23:$A$300,0)),0)))</f>
        <v/>
      </c>
      <c r="G325" s="42"/>
      <c r="H325" s="42"/>
    </row>
    <row r="326" customFormat="false" ht="15.75" hidden="false" customHeight="true" outlineLevel="0" collapsed="false">
      <c r="A326" s="41"/>
      <c r="B326" s="42"/>
      <c r="C326" s="42"/>
      <c r="D326" s="43"/>
      <c r="E326" s="44"/>
      <c r="F326" s="45" t="str">
        <f aca="false">IF($B326="","",N($D326)*IF(N($E326)&gt;0,$E326,IFERROR(INDEX(Costos!$K$23:$K$300,MATCH($B326,Costos!$A$23:$A$300,0)),0)))</f>
        <v/>
      </c>
      <c r="G326" s="42"/>
      <c r="H326" s="42"/>
    </row>
    <row r="327" customFormat="false" ht="15.75" hidden="false" customHeight="true" outlineLevel="0" collapsed="false">
      <c r="A327" s="41"/>
      <c r="B327" s="42"/>
      <c r="C327" s="42"/>
      <c r="D327" s="43"/>
      <c r="E327" s="44"/>
      <c r="F327" s="45" t="str">
        <f aca="false">IF($B327="","",N($D327)*IF(N($E327)&gt;0,$E327,IFERROR(INDEX(Costos!$K$23:$K$300,MATCH($B327,Costos!$A$23:$A$300,0)),0)))</f>
        <v/>
      </c>
      <c r="G327" s="42"/>
      <c r="H327" s="42"/>
    </row>
    <row r="328" customFormat="false" ht="15.75" hidden="false" customHeight="true" outlineLevel="0" collapsed="false">
      <c r="A328" s="41"/>
      <c r="B328" s="42"/>
      <c r="C328" s="42"/>
      <c r="D328" s="43"/>
      <c r="E328" s="44"/>
      <c r="F328" s="45" t="str">
        <f aca="false">IF($B328="","",N($D328)*IF(N($E328)&gt;0,$E328,IFERROR(INDEX(Costos!$K$23:$K$300,MATCH($B328,Costos!$A$23:$A$300,0)),0)))</f>
        <v/>
      </c>
      <c r="G328" s="42"/>
      <c r="H328" s="42"/>
    </row>
    <row r="329" customFormat="false" ht="15.75" hidden="false" customHeight="true" outlineLevel="0" collapsed="false">
      <c r="A329" s="41"/>
      <c r="B329" s="42"/>
      <c r="C329" s="42"/>
      <c r="D329" s="43"/>
      <c r="E329" s="44"/>
      <c r="F329" s="45" t="str">
        <f aca="false">IF($B329="","",N($D329)*IF(N($E329)&gt;0,$E329,IFERROR(INDEX(Costos!$K$23:$K$300,MATCH($B329,Costos!$A$23:$A$300,0)),0)))</f>
        <v/>
      </c>
      <c r="G329" s="42"/>
      <c r="H329" s="42"/>
    </row>
    <row r="330" customFormat="false" ht="15.75" hidden="false" customHeight="true" outlineLevel="0" collapsed="false">
      <c r="A330" s="41"/>
      <c r="B330" s="42"/>
      <c r="C330" s="42"/>
      <c r="D330" s="43"/>
      <c r="E330" s="44"/>
      <c r="F330" s="45" t="str">
        <f aca="false">IF($B330="","",N($D330)*IF(N($E330)&gt;0,$E330,IFERROR(INDEX(Costos!$K$23:$K$300,MATCH($B330,Costos!$A$23:$A$300,0)),0)))</f>
        <v/>
      </c>
      <c r="G330" s="42"/>
      <c r="H330" s="42"/>
    </row>
    <row r="331" customFormat="false" ht="15.75" hidden="false" customHeight="true" outlineLevel="0" collapsed="false">
      <c r="A331" s="41"/>
      <c r="B331" s="42"/>
      <c r="C331" s="42"/>
      <c r="D331" s="43"/>
      <c r="E331" s="44"/>
      <c r="F331" s="45" t="str">
        <f aca="false">IF($B331="","",N($D331)*IF(N($E331)&gt;0,$E331,IFERROR(INDEX(Costos!$K$23:$K$300,MATCH($B331,Costos!$A$23:$A$300,0)),0)))</f>
        <v/>
      </c>
      <c r="G331" s="42"/>
      <c r="H331" s="42"/>
    </row>
    <row r="332" customFormat="false" ht="15.75" hidden="false" customHeight="true" outlineLevel="0" collapsed="false">
      <c r="A332" s="41"/>
      <c r="B332" s="42"/>
      <c r="C332" s="42"/>
      <c r="D332" s="43"/>
      <c r="E332" s="44"/>
      <c r="F332" s="45" t="str">
        <f aca="false">IF($B332="","",N($D332)*IF(N($E332)&gt;0,$E332,IFERROR(INDEX(Costos!$K$23:$K$300,MATCH($B332,Costos!$A$23:$A$300,0)),0)))</f>
        <v/>
      </c>
      <c r="G332" s="42"/>
      <c r="H332" s="42"/>
    </row>
    <row r="333" customFormat="false" ht="15.75" hidden="false" customHeight="true" outlineLevel="0" collapsed="false">
      <c r="A333" s="41"/>
      <c r="B333" s="42"/>
      <c r="C333" s="42"/>
      <c r="D333" s="43"/>
      <c r="E333" s="44"/>
      <c r="F333" s="45" t="str">
        <f aca="false">IF($B333="","",N($D333)*IF(N($E333)&gt;0,$E333,IFERROR(INDEX(Costos!$K$23:$K$300,MATCH($B333,Costos!$A$23:$A$300,0)),0)))</f>
        <v/>
      </c>
      <c r="G333" s="42"/>
      <c r="H333" s="42"/>
    </row>
    <row r="334" customFormat="false" ht="15.75" hidden="false" customHeight="true" outlineLevel="0" collapsed="false">
      <c r="A334" s="41"/>
      <c r="B334" s="42"/>
      <c r="C334" s="42"/>
      <c r="D334" s="43"/>
      <c r="E334" s="44"/>
      <c r="F334" s="45" t="str">
        <f aca="false">IF($B334="","",N($D334)*IF(N($E334)&gt;0,$E334,IFERROR(INDEX(Costos!$K$23:$K$300,MATCH($B334,Costos!$A$23:$A$300,0)),0)))</f>
        <v/>
      </c>
      <c r="G334" s="42"/>
      <c r="H334" s="42"/>
    </row>
    <row r="335" customFormat="false" ht="15.75" hidden="false" customHeight="true" outlineLevel="0" collapsed="false">
      <c r="A335" s="41"/>
      <c r="B335" s="42"/>
      <c r="C335" s="42"/>
      <c r="D335" s="43"/>
      <c r="E335" s="44"/>
      <c r="F335" s="45" t="str">
        <f aca="false">IF($B335="","",N($D335)*IF(N($E335)&gt;0,$E335,IFERROR(INDEX(Costos!$K$23:$K$300,MATCH($B335,Costos!$A$23:$A$300,0)),0)))</f>
        <v/>
      </c>
      <c r="G335" s="42"/>
      <c r="H335" s="42"/>
    </row>
    <row r="336" customFormat="false" ht="15.75" hidden="false" customHeight="true" outlineLevel="0" collapsed="false">
      <c r="A336" s="41"/>
      <c r="B336" s="42"/>
      <c r="C336" s="42"/>
      <c r="D336" s="43"/>
      <c r="E336" s="44"/>
      <c r="F336" s="45" t="str">
        <f aca="false">IF($B336="","",N($D336)*IF(N($E336)&gt;0,$E336,IFERROR(INDEX(Costos!$K$23:$K$300,MATCH($B336,Costos!$A$23:$A$300,0)),0)))</f>
        <v/>
      </c>
      <c r="G336" s="42"/>
      <c r="H336" s="42"/>
    </row>
    <row r="337" customFormat="false" ht="15.75" hidden="false" customHeight="true" outlineLevel="0" collapsed="false">
      <c r="A337" s="41"/>
      <c r="B337" s="42"/>
      <c r="C337" s="42"/>
      <c r="D337" s="43"/>
      <c r="E337" s="44"/>
      <c r="F337" s="45" t="str">
        <f aca="false">IF($B337="","",N($D337)*IF(N($E337)&gt;0,$E337,IFERROR(INDEX(Costos!$K$23:$K$300,MATCH($B337,Costos!$A$23:$A$300,0)),0)))</f>
        <v/>
      </c>
      <c r="G337" s="42"/>
      <c r="H337" s="42"/>
    </row>
    <row r="338" customFormat="false" ht="15.75" hidden="false" customHeight="true" outlineLevel="0" collapsed="false">
      <c r="A338" s="41"/>
      <c r="B338" s="42"/>
      <c r="C338" s="42"/>
      <c r="D338" s="43"/>
      <c r="E338" s="44"/>
      <c r="F338" s="45" t="str">
        <f aca="false">IF($B338="","",N($D338)*IF(N($E338)&gt;0,$E338,IFERROR(INDEX(Costos!$K$23:$K$300,MATCH($B338,Costos!$A$23:$A$300,0)),0)))</f>
        <v/>
      </c>
      <c r="G338" s="42"/>
      <c r="H338" s="42"/>
    </row>
    <row r="339" customFormat="false" ht="15.75" hidden="false" customHeight="true" outlineLevel="0" collapsed="false">
      <c r="A339" s="41"/>
      <c r="B339" s="42"/>
      <c r="C339" s="42"/>
      <c r="D339" s="43"/>
      <c r="E339" s="44"/>
      <c r="F339" s="45" t="str">
        <f aca="false">IF($B339="","",N($D339)*IF(N($E339)&gt;0,$E339,IFERROR(INDEX(Costos!$K$23:$K$300,MATCH($B339,Costos!$A$23:$A$300,0)),0)))</f>
        <v/>
      </c>
      <c r="G339" s="42"/>
      <c r="H339" s="42"/>
    </row>
    <row r="340" customFormat="false" ht="15.75" hidden="false" customHeight="true" outlineLevel="0" collapsed="false">
      <c r="A340" s="41"/>
      <c r="B340" s="42"/>
      <c r="C340" s="42"/>
      <c r="D340" s="43"/>
      <c r="E340" s="44"/>
      <c r="F340" s="45" t="str">
        <f aca="false">IF($B340="","",N($D340)*IF(N($E340)&gt;0,$E340,IFERROR(INDEX(Costos!$K$23:$K$300,MATCH($B340,Costos!$A$23:$A$300,0)),0)))</f>
        <v/>
      </c>
      <c r="G340" s="42"/>
      <c r="H340" s="42"/>
    </row>
    <row r="341" customFormat="false" ht="15.75" hidden="false" customHeight="true" outlineLevel="0" collapsed="false">
      <c r="A341" s="41"/>
      <c r="B341" s="42"/>
      <c r="C341" s="42"/>
      <c r="D341" s="43"/>
      <c r="E341" s="44"/>
      <c r="F341" s="45" t="str">
        <f aca="false">IF($B341="","",N($D341)*IF(N($E341)&gt;0,$E341,IFERROR(INDEX(Costos!$K$23:$K$300,MATCH($B341,Costos!$A$23:$A$300,0)),0)))</f>
        <v/>
      </c>
      <c r="G341" s="42"/>
      <c r="H341" s="42"/>
    </row>
    <row r="342" customFormat="false" ht="15.75" hidden="false" customHeight="true" outlineLevel="0" collapsed="false">
      <c r="A342" s="41"/>
      <c r="B342" s="42"/>
      <c r="C342" s="42"/>
      <c r="D342" s="43"/>
      <c r="E342" s="44"/>
      <c r="F342" s="45" t="str">
        <f aca="false">IF($B342="","",N($D342)*IF(N($E342)&gt;0,$E342,IFERROR(INDEX(Costos!$K$23:$K$300,MATCH($B342,Costos!$A$23:$A$300,0)),0)))</f>
        <v/>
      </c>
      <c r="G342" s="42"/>
      <c r="H342" s="42"/>
    </row>
    <row r="343" customFormat="false" ht="15.75" hidden="false" customHeight="true" outlineLevel="0" collapsed="false">
      <c r="A343" s="41"/>
      <c r="B343" s="42"/>
      <c r="C343" s="42"/>
      <c r="D343" s="43"/>
      <c r="E343" s="44"/>
      <c r="F343" s="45" t="str">
        <f aca="false">IF($B343="","",N($D343)*IF(N($E343)&gt;0,$E343,IFERROR(INDEX(Costos!$K$23:$K$300,MATCH($B343,Costos!$A$23:$A$300,0)),0)))</f>
        <v/>
      </c>
      <c r="G343" s="42"/>
      <c r="H343" s="42"/>
    </row>
    <row r="344" customFormat="false" ht="15.75" hidden="false" customHeight="true" outlineLevel="0" collapsed="false">
      <c r="A344" s="41"/>
      <c r="B344" s="42"/>
      <c r="C344" s="42"/>
      <c r="D344" s="43"/>
      <c r="E344" s="44"/>
      <c r="F344" s="45" t="str">
        <f aca="false">IF($B344="","",N($D344)*IF(N($E344)&gt;0,$E344,IFERROR(INDEX(Costos!$K$23:$K$300,MATCH($B344,Costos!$A$23:$A$300,0)),0)))</f>
        <v/>
      </c>
      <c r="G344" s="42"/>
      <c r="H344" s="42"/>
    </row>
    <row r="345" customFormat="false" ht="15.75" hidden="false" customHeight="true" outlineLevel="0" collapsed="false">
      <c r="A345" s="41"/>
      <c r="B345" s="42"/>
      <c r="C345" s="42"/>
      <c r="D345" s="43"/>
      <c r="E345" s="44"/>
      <c r="F345" s="45" t="str">
        <f aca="false">IF($B345="","",N($D345)*IF(N($E345)&gt;0,$E345,IFERROR(INDEX(Costos!$K$23:$K$300,MATCH($B345,Costos!$A$23:$A$300,0)),0)))</f>
        <v/>
      </c>
      <c r="G345" s="42"/>
      <c r="H345" s="42"/>
    </row>
    <row r="346" customFormat="false" ht="15.75" hidden="false" customHeight="true" outlineLevel="0" collapsed="false">
      <c r="A346" s="41"/>
      <c r="B346" s="42"/>
      <c r="C346" s="42"/>
      <c r="D346" s="43"/>
      <c r="E346" s="44"/>
      <c r="F346" s="45" t="str">
        <f aca="false">IF($B346="","",N($D346)*IF(N($E346)&gt;0,$E346,IFERROR(INDEX(Costos!$K$23:$K$300,MATCH($B346,Costos!$A$23:$A$300,0)),0)))</f>
        <v/>
      </c>
      <c r="G346" s="42"/>
      <c r="H346" s="42"/>
    </row>
    <row r="347" customFormat="false" ht="15.75" hidden="false" customHeight="true" outlineLevel="0" collapsed="false">
      <c r="A347" s="41"/>
      <c r="B347" s="42"/>
      <c r="C347" s="42"/>
      <c r="D347" s="43"/>
      <c r="E347" s="44"/>
      <c r="F347" s="45" t="str">
        <f aca="false">IF($B347="","",N($D347)*IF(N($E347)&gt;0,$E347,IFERROR(INDEX(Costos!$K$23:$K$300,MATCH($B347,Costos!$A$23:$A$300,0)),0)))</f>
        <v/>
      </c>
      <c r="G347" s="42"/>
      <c r="H347" s="42"/>
    </row>
    <row r="348" customFormat="false" ht="15.75" hidden="false" customHeight="true" outlineLevel="0" collapsed="false">
      <c r="A348" s="41"/>
      <c r="B348" s="42"/>
      <c r="C348" s="42"/>
      <c r="D348" s="43"/>
      <c r="E348" s="44"/>
      <c r="F348" s="45" t="str">
        <f aca="false">IF($B348="","",N($D348)*IF(N($E348)&gt;0,$E348,IFERROR(INDEX(Costos!$K$23:$K$300,MATCH($B348,Costos!$A$23:$A$300,0)),0)))</f>
        <v/>
      </c>
      <c r="G348" s="42"/>
      <c r="H348" s="42"/>
    </row>
    <row r="349" customFormat="false" ht="15.75" hidden="false" customHeight="true" outlineLevel="0" collapsed="false">
      <c r="A349" s="41"/>
      <c r="B349" s="42"/>
      <c r="C349" s="42"/>
      <c r="D349" s="43"/>
      <c r="E349" s="44"/>
      <c r="F349" s="45" t="str">
        <f aca="false">IF($B349="","",N($D349)*IF(N($E349)&gt;0,$E349,IFERROR(INDEX(Costos!$K$23:$K$300,MATCH($B349,Costos!$A$23:$A$300,0)),0)))</f>
        <v/>
      </c>
      <c r="G349" s="42"/>
      <c r="H349" s="42"/>
    </row>
    <row r="350" customFormat="false" ht="15.75" hidden="false" customHeight="true" outlineLevel="0" collapsed="false">
      <c r="A350" s="41"/>
      <c r="B350" s="42"/>
      <c r="C350" s="42"/>
      <c r="D350" s="43"/>
      <c r="E350" s="44"/>
      <c r="F350" s="45" t="str">
        <f aca="false">IF($B350="","",N($D350)*IF(N($E350)&gt;0,$E350,IFERROR(INDEX(Costos!$K$23:$K$300,MATCH($B350,Costos!$A$23:$A$300,0)),0)))</f>
        <v/>
      </c>
      <c r="G350" s="42"/>
      <c r="H350" s="42"/>
    </row>
    <row r="351" customFormat="false" ht="15.75" hidden="false" customHeight="true" outlineLevel="0" collapsed="false">
      <c r="A351" s="41"/>
      <c r="B351" s="42"/>
      <c r="C351" s="42"/>
      <c r="D351" s="43"/>
      <c r="E351" s="44"/>
      <c r="F351" s="45" t="str">
        <f aca="false">IF($B351="","",N($D351)*IF(N($E351)&gt;0,$E351,IFERROR(INDEX(Costos!$K$23:$K$300,MATCH($B351,Costos!$A$23:$A$300,0)),0)))</f>
        <v/>
      </c>
      <c r="G351" s="42"/>
      <c r="H351" s="42"/>
    </row>
    <row r="352" customFormat="false" ht="15.75" hidden="false" customHeight="true" outlineLevel="0" collapsed="false">
      <c r="A352" s="41"/>
      <c r="B352" s="42"/>
      <c r="C352" s="42"/>
      <c r="D352" s="43"/>
      <c r="E352" s="44"/>
      <c r="F352" s="45" t="str">
        <f aca="false">IF($B352="","",N($D352)*IF(N($E352)&gt;0,$E352,IFERROR(INDEX(Costos!$K$23:$K$300,MATCH($B352,Costos!$A$23:$A$300,0)),0)))</f>
        <v/>
      </c>
      <c r="G352" s="42"/>
      <c r="H352" s="42"/>
    </row>
    <row r="353" customFormat="false" ht="15.75" hidden="false" customHeight="true" outlineLevel="0" collapsed="false">
      <c r="A353" s="41"/>
      <c r="B353" s="42"/>
      <c r="C353" s="42"/>
      <c r="D353" s="43"/>
      <c r="E353" s="44"/>
      <c r="F353" s="45" t="str">
        <f aca="false">IF($B353="","",N($D353)*IF(N($E353)&gt;0,$E353,IFERROR(INDEX(Costos!$K$23:$K$300,MATCH($B353,Costos!$A$23:$A$300,0)),0)))</f>
        <v/>
      </c>
      <c r="G353" s="42"/>
      <c r="H353" s="42"/>
    </row>
    <row r="354" customFormat="false" ht="15.75" hidden="false" customHeight="true" outlineLevel="0" collapsed="false">
      <c r="A354" s="41"/>
      <c r="B354" s="42"/>
      <c r="C354" s="42"/>
      <c r="D354" s="43"/>
      <c r="E354" s="44"/>
      <c r="F354" s="45" t="str">
        <f aca="false">IF($B354="","",N($D354)*IF(N($E354)&gt;0,$E354,IFERROR(INDEX(Costos!$K$23:$K$300,MATCH($B354,Costos!$A$23:$A$300,0)),0)))</f>
        <v/>
      </c>
      <c r="G354" s="42"/>
      <c r="H354" s="42"/>
    </row>
    <row r="355" customFormat="false" ht="15.75" hidden="false" customHeight="true" outlineLevel="0" collapsed="false">
      <c r="A355" s="41"/>
      <c r="B355" s="42"/>
      <c r="C355" s="42"/>
      <c r="D355" s="43"/>
      <c r="E355" s="44"/>
      <c r="F355" s="45" t="str">
        <f aca="false">IF($B355="","",N($D355)*IF(N($E355)&gt;0,$E355,IFERROR(INDEX(Costos!$K$23:$K$300,MATCH($B355,Costos!$A$23:$A$300,0)),0)))</f>
        <v/>
      </c>
      <c r="G355" s="42"/>
      <c r="H355" s="42"/>
    </row>
    <row r="356" customFormat="false" ht="15.75" hidden="false" customHeight="true" outlineLevel="0" collapsed="false">
      <c r="A356" s="41"/>
      <c r="B356" s="42"/>
      <c r="C356" s="42"/>
      <c r="D356" s="43"/>
      <c r="E356" s="44"/>
      <c r="F356" s="45" t="str">
        <f aca="false">IF($B356="","",N($D356)*IF(N($E356)&gt;0,$E356,IFERROR(INDEX(Costos!$K$23:$K$300,MATCH($B356,Costos!$A$23:$A$300,0)),0)))</f>
        <v/>
      </c>
      <c r="G356" s="42"/>
      <c r="H356" s="42"/>
    </row>
    <row r="357" customFormat="false" ht="15.75" hidden="false" customHeight="true" outlineLevel="0" collapsed="false">
      <c r="A357" s="41"/>
      <c r="B357" s="42"/>
      <c r="C357" s="42"/>
      <c r="D357" s="43"/>
      <c r="E357" s="44"/>
      <c r="F357" s="45" t="str">
        <f aca="false">IF($B357="","",N($D357)*IF(N($E357)&gt;0,$E357,IFERROR(INDEX(Costos!$K$23:$K$300,MATCH($B357,Costos!$A$23:$A$300,0)),0)))</f>
        <v/>
      </c>
      <c r="G357" s="42"/>
      <c r="H357" s="42"/>
    </row>
    <row r="358" customFormat="false" ht="15.75" hidden="false" customHeight="true" outlineLevel="0" collapsed="false">
      <c r="A358" s="41"/>
      <c r="B358" s="42"/>
      <c r="C358" s="42"/>
      <c r="D358" s="43"/>
      <c r="E358" s="44"/>
      <c r="F358" s="45" t="str">
        <f aca="false">IF($B358="","",N($D358)*IF(N($E358)&gt;0,$E358,IFERROR(INDEX(Costos!$K$23:$K$300,MATCH($B358,Costos!$A$23:$A$300,0)),0)))</f>
        <v/>
      </c>
      <c r="G358" s="42"/>
      <c r="H358" s="42"/>
    </row>
    <row r="359" customFormat="false" ht="15.75" hidden="false" customHeight="true" outlineLevel="0" collapsed="false">
      <c r="A359" s="41"/>
      <c r="B359" s="42"/>
      <c r="C359" s="42"/>
      <c r="D359" s="43"/>
      <c r="E359" s="44"/>
      <c r="F359" s="45" t="str">
        <f aca="false">IF($B359="","",N($D359)*IF(N($E359)&gt;0,$E359,IFERROR(INDEX(Costos!$K$23:$K$300,MATCH($B359,Costos!$A$23:$A$300,0)),0)))</f>
        <v/>
      </c>
      <c r="G359" s="42"/>
      <c r="H359" s="42"/>
    </row>
    <row r="360" customFormat="false" ht="15.75" hidden="false" customHeight="true" outlineLevel="0" collapsed="false">
      <c r="A360" s="41"/>
      <c r="B360" s="42"/>
      <c r="C360" s="42"/>
      <c r="D360" s="43"/>
      <c r="E360" s="44"/>
      <c r="F360" s="45" t="str">
        <f aca="false">IF($B360="","",N($D360)*IF(N($E360)&gt;0,$E360,IFERROR(INDEX(Costos!$K$23:$K$300,MATCH($B360,Costos!$A$23:$A$300,0)),0)))</f>
        <v/>
      </c>
      <c r="G360" s="42"/>
      <c r="H360" s="42"/>
    </row>
    <row r="361" customFormat="false" ht="15.75" hidden="false" customHeight="true" outlineLevel="0" collapsed="false">
      <c r="A361" s="41"/>
      <c r="B361" s="42"/>
      <c r="C361" s="42"/>
      <c r="D361" s="43"/>
      <c r="E361" s="44"/>
      <c r="F361" s="45" t="str">
        <f aca="false">IF($B361="","",N($D361)*IF(N($E361)&gt;0,$E361,IFERROR(INDEX(Costos!$K$23:$K$300,MATCH($B361,Costos!$A$23:$A$300,0)),0)))</f>
        <v/>
      </c>
      <c r="G361" s="42"/>
      <c r="H361" s="42"/>
    </row>
    <row r="362" customFormat="false" ht="15.75" hidden="false" customHeight="true" outlineLevel="0" collapsed="false">
      <c r="A362" s="41"/>
      <c r="B362" s="42"/>
      <c r="C362" s="42"/>
      <c r="D362" s="43"/>
      <c r="E362" s="44"/>
      <c r="F362" s="45" t="str">
        <f aca="false">IF($B362="","",N($D362)*IF(N($E362)&gt;0,$E362,IFERROR(INDEX(Costos!$K$23:$K$300,MATCH($B362,Costos!$A$23:$A$300,0)),0)))</f>
        <v/>
      </c>
      <c r="G362" s="42"/>
      <c r="H362" s="42"/>
    </row>
    <row r="363" customFormat="false" ht="15.75" hidden="false" customHeight="true" outlineLevel="0" collapsed="false">
      <c r="A363" s="41"/>
      <c r="B363" s="42"/>
      <c r="C363" s="42"/>
      <c r="D363" s="43"/>
      <c r="E363" s="44"/>
      <c r="F363" s="45" t="str">
        <f aca="false">IF($B363="","",N($D363)*IF(N($E363)&gt;0,$E363,IFERROR(INDEX(Costos!$K$23:$K$300,MATCH($B363,Costos!$A$23:$A$300,0)),0)))</f>
        <v/>
      </c>
      <c r="G363" s="42"/>
      <c r="H363" s="42"/>
    </row>
    <row r="364" customFormat="false" ht="15.75" hidden="false" customHeight="true" outlineLevel="0" collapsed="false">
      <c r="A364" s="41"/>
      <c r="B364" s="42"/>
      <c r="C364" s="42"/>
      <c r="D364" s="43"/>
      <c r="E364" s="44"/>
      <c r="F364" s="45" t="str">
        <f aca="false">IF($B364="","",N($D364)*IF(N($E364)&gt;0,$E364,IFERROR(INDEX(Costos!$K$23:$K$300,MATCH($B364,Costos!$A$23:$A$300,0)),0)))</f>
        <v/>
      </c>
      <c r="G364" s="42"/>
      <c r="H364" s="42"/>
    </row>
    <row r="365" customFormat="false" ht="15.75" hidden="false" customHeight="true" outlineLevel="0" collapsed="false">
      <c r="A365" s="41"/>
      <c r="B365" s="42"/>
      <c r="C365" s="42"/>
      <c r="D365" s="43"/>
      <c r="E365" s="44"/>
      <c r="F365" s="45" t="str">
        <f aca="false">IF($B365="","",N($D365)*IF(N($E365)&gt;0,$E365,IFERROR(INDEX(Costos!$K$23:$K$300,MATCH($B365,Costos!$A$23:$A$300,0)),0)))</f>
        <v/>
      </c>
      <c r="G365" s="42"/>
      <c r="H365" s="42"/>
    </row>
    <row r="366" customFormat="false" ht="15.75" hidden="false" customHeight="true" outlineLevel="0" collapsed="false">
      <c r="A366" s="41"/>
      <c r="B366" s="42"/>
      <c r="C366" s="42"/>
      <c r="D366" s="43"/>
      <c r="E366" s="44"/>
      <c r="F366" s="45" t="str">
        <f aca="false">IF($B366="","",N($D366)*IF(N($E366)&gt;0,$E366,IFERROR(INDEX(Costos!$K$23:$K$300,MATCH($B366,Costos!$A$23:$A$300,0)),0)))</f>
        <v/>
      </c>
      <c r="G366" s="42"/>
      <c r="H366" s="42"/>
    </row>
    <row r="367" customFormat="false" ht="15.75" hidden="false" customHeight="true" outlineLevel="0" collapsed="false">
      <c r="A367" s="41"/>
      <c r="B367" s="42"/>
      <c r="C367" s="42"/>
      <c r="D367" s="43"/>
      <c r="E367" s="44"/>
      <c r="F367" s="45" t="str">
        <f aca="false">IF($B367="","",N($D367)*IF(N($E367)&gt;0,$E367,IFERROR(INDEX(Costos!$K$23:$K$300,MATCH($B367,Costos!$A$23:$A$300,0)),0)))</f>
        <v/>
      </c>
      <c r="G367" s="42"/>
      <c r="H367" s="42"/>
    </row>
    <row r="368" customFormat="false" ht="15.75" hidden="false" customHeight="true" outlineLevel="0" collapsed="false">
      <c r="A368" s="41"/>
      <c r="B368" s="42"/>
      <c r="C368" s="42"/>
      <c r="D368" s="43"/>
      <c r="E368" s="44"/>
      <c r="F368" s="45" t="str">
        <f aca="false">IF($B368="","",N($D368)*IF(N($E368)&gt;0,$E368,IFERROR(INDEX(Costos!$K$23:$K$300,MATCH($B368,Costos!$A$23:$A$300,0)),0)))</f>
        <v/>
      </c>
      <c r="G368" s="42"/>
      <c r="H368" s="42"/>
    </row>
    <row r="369" customFormat="false" ht="15.75" hidden="false" customHeight="true" outlineLevel="0" collapsed="false">
      <c r="A369" s="41"/>
      <c r="B369" s="42"/>
      <c r="C369" s="42"/>
      <c r="D369" s="43"/>
      <c r="E369" s="44"/>
      <c r="F369" s="45" t="str">
        <f aca="false">IF($B369="","",N($D369)*IF(N($E369)&gt;0,$E369,IFERROR(INDEX(Costos!$K$23:$K$300,MATCH($B369,Costos!$A$23:$A$300,0)),0)))</f>
        <v/>
      </c>
      <c r="G369" s="42"/>
      <c r="H369" s="42"/>
    </row>
    <row r="370" customFormat="false" ht="15.75" hidden="false" customHeight="true" outlineLevel="0" collapsed="false">
      <c r="A370" s="41"/>
      <c r="B370" s="42"/>
      <c r="C370" s="42"/>
      <c r="D370" s="43"/>
      <c r="E370" s="44"/>
      <c r="F370" s="45" t="str">
        <f aca="false">IF($B370="","",N($D370)*IF(N($E370)&gt;0,$E370,IFERROR(INDEX(Costos!$K$23:$K$300,MATCH($B370,Costos!$A$23:$A$300,0)),0)))</f>
        <v/>
      </c>
      <c r="G370" s="42"/>
      <c r="H370" s="42"/>
    </row>
    <row r="371" customFormat="false" ht="15.75" hidden="false" customHeight="true" outlineLevel="0" collapsed="false">
      <c r="A371" s="41"/>
      <c r="B371" s="42"/>
      <c r="C371" s="42"/>
      <c r="D371" s="43"/>
      <c r="E371" s="44"/>
      <c r="F371" s="45" t="str">
        <f aca="false">IF($B371="","",N($D371)*IF(N($E371)&gt;0,$E371,IFERROR(INDEX(Costos!$K$23:$K$300,MATCH($B371,Costos!$A$23:$A$300,0)),0)))</f>
        <v/>
      </c>
      <c r="G371" s="42"/>
      <c r="H371" s="42"/>
    </row>
    <row r="372" customFormat="false" ht="15.75" hidden="false" customHeight="true" outlineLevel="0" collapsed="false">
      <c r="A372" s="41"/>
      <c r="B372" s="42"/>
      <c r="C372" s="42"/>
      <c r="D372" s="43"/>
      <c r="E372" s="44"/>
      <c r="F372" s="45" t="str">
        <f aca="false">IF($B372="","",N($D372)*IF(N($E372)&gt;0,$E372,IFERROR(INDEX(Costos!$K$23:$K$300,MATCH($B372,Costos!$A$23:$A$300,0)),0)))</f>
        <v/>
      </c>
      <c r="G372" s="42"/>
      <c r="H372" s="42"/>
    </row>
    <row r="373" customFormat="false" ht="15.75" hidden="false" customHeight="true" outlineLevel="0" collapsed="false">
      <c r="A373" s="41"/>
      <c r="B373" s="42"/>
      <c r="C373" s="42"/>
      <c r="D373" s="43"/>
      <c r="E373" s="44"/>
      <c r="F373" s="45" t="str">
        <f aca="false">IF($B373="","",N($D373)*IF(N($E373)&gt;0,$E373,IFERROR(INDEX(Costos!$K$23:$K$300,MATCH($B373,Costos!$A$23:$A$300,0)),0)))</f>
        <v/>
      </c>
      <c r="G373" s="42"/>
      <c r="H373" s="42"/>
    </row>
    <row r="374" customFormat="false" ht="15.75" hidden="false" customHeight="true" outlineLevel="0" collapsed="false">
      <c r="A374" s="41"/>
      <c r="B374" s="42"/>
      <c r="C374" s="42"/>
      <c r="D374" s="43"/>
      <c r="E374" s="44"/>
      <c r="F374" s="45" t="str">
        <f aca="false">IF($B374="","",N($D374)*IF(N($E374)&gt;0,$E374,IFERROR(INDEX(Costos!$K$23:$K$300,MATCH($B374,Costos!$A$23:$A$300,0)),0)))</f>
        <v/>
      </c>
      <c r="G374" s="42"/>
      <c r="H374" s="42"/>
    </row>
    <row r="375" customFormat="false" ht="15.75" hidden="false" customHeight="true" outlineLevel="0" collapsed="false">
      <c r="A375" s="41"/>
      <c r="B375" s="42"/>
      <c r="C375" s="42"/>
      <c r="D375" s="43"/>
      <c r="E375" s="44"/>
      <c r="F375" s="45" t="str">
        <f aca="false">IF($B375="","",N($D375)*IF(N($E375)&gt;0,$E375,IFERROR(INDEX(Costos!$K$23:$K$300,MATCH($B375,Costos!$A$23:$A$300,0)),0)))</f>
        <v/>
      </c>
      <c r="G375" s="42"/>
      <c r="H375" s="42"/>
    </row>
    <row r="376" customFormat="false" ht="15.75" hidden="false" customHeight="true" outlineLevel="0" collapsed="false">
      <c r="A376" s="41"/>
      <c r="B376" s="42"/>
      <c r="C376" s="42"/>
      <c r="D376" s="43"/>
      <c r="E376" s="44"/>
      <c r="F376" s="45" t="str">
        <f aca="false">IF($B376="","",N($D376)*IF(N($E376)&gt;0,$E376,IFERROR(INDEX(Costos!$K$23:$K$300,MATCH($B376,Costos!$A$23:$A$300,0)),0)))</f>
        <v/>
      </c>
      <c r="G376" s="42"/>
      <c r="H376" s="42"/>
    </row>
    <row r="377" customFormat="false" ht="15.75" hidden="false" customHeight="true" outlineLevel="0" collapsed="false">
      <c r="A377" s="41"/>
      <c r="B377" s="42"/>
      <c r="C377" s="42"/>
      <c r="D377" s="43"/>
      <c r="E377" s="44"/>
      <c r="F377" s="45" t="str">
        <f aca="false">IF($B377="","",N($D377)*IF(N($E377)&gt;0,$E377,IFERROR(INDEX(Costos!$K$23:$K$300,MATCH($B377,Costos!$A$23:$A$300,0)),0)))</f>
        <v/>
      </c>
      <c r="G377" s="42"/>
      <c r="H377" s="42"/>
    </row>
    <row r="378" customFormat="false" ht="15.75" hidden="false" customHeight="true" outlineLevel="0" collapsed="false">
      <c r="A378" s="41"/>
      <c r="B378" s="42"/>
      <c r="C378" s="42"/>
      <c r="D378" s="43"/>
      <c r="E378" s="44"/>
      <c r="F378" s="45" t="str">
        <f aca="false">IF($B378="","",N($D378)*IF(N($E378)&gt;0,$E378,IFERROR(INDEX(Costos!$K$23:$K$300,MATCH($B378,Costos!$A$23:$A$300,0)),0)))</f>
        <v/>
      </c>
      <c r="G378" s="42"/>
      <c r="H378" s="42"/>
    </row>
    <row r="379" customFormat="false" ht="15.75" hidden="false" customHeight="true" outlineLevel="0" collapsed="false">
      <c r="A379" s="41"/>
      <c r="B379" s="42"/>
      <c r="C379" s="42"/>
      <c r="D379" s="43"/>
      <c r="E379" s="44"/>
      <c r="F379" s="45" t="str">
        <f aca="false">IF($B379="","",N($D379)*IF(N($E379)&gt;0,$E379,IFERROR(INDEX(Costos!$K$23:$K$300,MATCH($B379,Costos!$A$23:$A$300,0)),0)))</f>
        <v/>
      </c>
      <c r="G379" s="42"/>
      <c r="H379" s="42"/>
    </row>
    <row r="380" customFormat="false" ht="15.75" hidden="false" customHeight="true" outlineLevel="0" collapsed="false">
      <c r="A380" s="41"/>
      <c r="B380" s="42"/>
      <c r="C380" s="42"/>
      <c r="D380" s="43"/>
      <c r="E380" s="44"/>
      <c r="F380" s="45" t="str">
        <f aca="false">IF($B380="","",N($D380)*IF(N($E380)&gt;0,$E380,IFERROR(INDEX(Costos!$K$23:$K$300,MATCH($B380,Costos!$A$23:$A$300,0)),0)))</f>
        <v/>
      </c>
      <c r="G380" s="42"/>
      <c r="H380" s="42"/>
    </row>
    <row r="381" customFormat="false" ht="15.75" hidden="false" customHeight="true" outlineLevel="0" collapsed="false">
      <c r="A381" s="41"/>
      <c r="B381" s="42"/>
      <c r="C381" s="42"/>
      <c r="D381" s="43"/>
      <c r="E381" s="44"/>
      <c r="F381" s="45" t="str">
        <f aca="false">IF($B381="","",N($D381)*IF(N($E381)&gt;0,$E381,IFERROR(INDEX(Costos!$K$23:$K$300,MATCH($B381,Costos!$A$23:$A$300,0)),0)))</f>
        <v/>
      </c>
      <c r="G381" s="42"/>
      <c r="H381" s="42"/>
    </row>
    <row r="382" customFormat="false" ht="15.75" hidden="false" customHeight="true" outlineLevel="0" collapsed="false">
      <c r="A382" s="41"/>
      <c r="B382" s="42"/>
      <c r="C382" s="42"/>
      <c r="D382" s="43"/>
      <c r="E382" s="44"/>
      <c r="F382" s="45" t="str">
        <f aca="false">IF($B382="","",N($D382)*IF(N($E382)&gt;0,$E382,IFERROR(INDEX(Costos!$K$23:$K$300,MATCH($B382,Costos!$A$23:$A$300,0)),0)))</f>
        <v/>
      </c>
      <c r="G382" s="42"/>
      <c r="H382" s="42"/>
    </row>
    <row r="383" customFormat="false" ht="15.75" hidden="false" customHeight="true" outlineLevel="0" collapsed="false">
      <c r="A383" s="41"/>
      <c r="B383" s="42"/>
      <c r="C383" s="42"/>
      <c r="D383" s="43"/>
      <c r="E383" s="44"/>
      <c r="F383" s="45" t="str">
        <f aca="false">IF($B383="","",N($D383)*IF(N($E383)&gt;0,$E383,IFERROR(INDEX(Costos!$K$23:$K$300,MATCH($B383,Costos!$A$23:$A$300,0)),0)))</f>
        <v/>
      </c>
      <c r="G383" s="42"/>
      <c r="H383" s="42"/>
    </row>
    <row r="384" customFormat="false" ht="15.75" hidden="false" customHeight="true" outlineLevel="0" collapsed="false">
      <c r="A384" s="41"/>
      <c r="B384" s="42"/>
      <c r="C384" s="42"/>
      <c r="D384" s="43"/>
      <c r="E384" s="44"/>
      <c r="F384" s="45" t="str">
        <f aca="false">IF($B384="","",N($D384)*IF(N($E384)&gt;0,$E384,IFERROR(INDEX(Costos!$K$23:$K$300,MATCH($B384,Costos!$A$23:$A$300,0)),0)))</f>
        <v/>
      </c>
      <c r="G384" s="42"/>
      <c r="H384" s="42"/>
    </row>
    <row r="385" customFormat="false" ht="15.75" hidden="false" customHeight="true" outlineLevel="0" collapsed="false">
      <c r="A385" s="41"/>
      <c r="B385" s="42"/>
      <c r="C385" s="42"/>
      <c r="D385" s="43"/>
      <c r="E385" s="44"/>
      <c r="F385" s="45" t="str">
        <f aca="false">IF($B385="","",N($D385)*IF(N($E385)&gt;0,$E385,IFERROR(INDEX(Costos!$K$23:$K$300,MATCH($B385,Costos!$A$23:$A$300,0)),0)))</f>
        <v/>
      </c>
      <c r="G385" s="42"/>
      <c r="H385" s="42"/>
    </row>
    <row r="386" customFormat="false" ht="15.75" hidden="false" customHeight="true" outlineLevel="0" collapsed="false">
      <c r="A386" s="41"/>
      <c r="B386" s="42"/>
      <c r="C386" s="42"/>
      <c r="D386" s="43"/>
      <c r="E386" s="44"/>
      <c r="F386" s="45" t="str">
        <f aca="false">IF($B386="","",N($D386)*IF(N($E386)&gt;0,$E386,IFERROR(INDEX(Costos!$K$23:$K$300,MATCH($B386,Costos!$A$23:$A$300,0)),0)))</f>
        <v/>
      </c>
      <c r="G386" s="42"/>
      <c r="H386" s="42"/>
    </row>
    <row r="387" customFormat="false" ht="15.75" hidden="false" customHeight="true" outlineLevel="0" collapsed="false">
      <c r="A387" s="41"/>
      <c r="B387" s="42"/>
      <c r="C387" s="42"/>
      <c r="D387" s="43"/>
      <c r="E387" s="44"/>
      <c r="F387" s="45" t="str">
        <f aca="false">IF($B387="","",N($D387)*IF(N($E387)&gt;0,$E387,IFERROR(INDEX(Costos!$K$23:$K$300,MATCH($B387,Costos!$A$23:$A$300,0)),0)))</f>
        <v/>
      </c>
      <c r="G387" s="42"/>
      <c r="H387" s="42"/>
    </row>
    <row r="388" customFormat="false" ht="15.75" hidden="false" customHeight="true" outlineLevel="0" collapsed="false">
      <c r="A388" s="41"/>
      <c r="B388" s="42"/>
      <c r="C388" s="42"/>
      <c r="D388" s="43"/>
      <c r="E388" s="44"/>
      <c r="F388" s="45" t="str">
        <f aca="false">IF($B388="","",N($D388)*IF(N($E388)&gt;0,$E388,IFERROR(INDEX(Costos!$K$23:$K$300,MATCH($B388,Costos!$A$23:$A$300,0)),0)))</f>
        <v/>
      </c>
      <c r="G388" s="42"/>
      <c r="H388" s="42"/>
    </row>
    <row r="389" customFormat="false" ht="15.75" hidden="false" customHeight="true" outlineLevel="0" collapsed="false">
      <c r="A389" s="41"/>
      <c r="B389" s="42"/>
      <c r="C389" s="42"/>
      <c r="D389" s="43"/>
      <c r="E389" s="44"/>
      <c r="F389" s="45" t="str">
        <f aca="false">IF($B389="","",N($D389)*IF(N($E389)&gt;0,$E389,IFERROR(INDEX(Costos!$K$23:$K$300,MATCH($B389,Costos!$A$23:$A$300,0)),0)))</f>
        <v/>
      </c>
      <c r="G389" s="42"/>
      <c r="H389" s="42"/>
    </row>
    <row r="390" customFormat="false" ht="15.75" hidden="false" customHeight="true" outlineLevel="0" collapsed="false">
      <c r="A390" s="41"/>
      <c r="B390" s="42"/>
      <c r="C390" s="42"/>
      <c r="D390" s="43"/>
      <c r="E390" s="44"/>
      <c r="F390" s="45" t="str">
        <f aca="false">IF($B390="","",N($D390)*IF(N($E390)&gt;0,$E390,IFERROR(INDEX(Costos!$K$23:$K$300,MATCH($B390,Costos!$A$23:$A$300,0)),0)))</f>
        <v/>
      </c>
      <c r="G390" s="42"/>
      <c r="H390" s="42"/>
    </row>
    <row r="391" customFormat="false" ht="15.75" hidden="false" customHeight="true" outlineLevel="0" collapsed="false">
      <c r="A391" s="41"/>
      <c r="B391" s="42"/>
      <c r="C391" s="42"/>
      <c r="D391" s="43"/>
      <c r="E391" s="44"/>
      <c r="F391" s="45" t="str">
        <f aca="false">IF($B391="","",N($D391)*IF(N($E391)&gt;0,$E391,IFERROR(INDEX(Costos!$K$23:$K$300,MATCH($B391,Costos!$A$23:$A$300,0)),0)))</f>
        <v/>
      </c>
      <c r="G391" s="42"/>
      <c r="H391" s="42"/>
    </row>
    <row r="392" customFormat="false" ht="15.75" hidden="false" customHeight="true" outlineLevel="0" collapsed="false">
      <c r="A392" s="41"/>
      <c r="B392" s="42"/>
      <c r="C392" s="42"/>
      <c r="D392" s="43"/>
      <c r="E392" s="44"/>
      <c r="F392" s="45" t="str">
        <f aca="false">IF($B392="","",N($D392)*IF(N($E392)&gt;0,$E392,IFERROR(INDEX(Costos!$K$23:$K$300,MATCH($B392,Costos!$A$23:$A$300,0)),0)))</f>
        <v/>
      </c>
      <c r="G392" s="42"/>
      <c r="H392" s="42"/>
    </row>
    <row r="393" customFormat="false" ht="15.75" hidden="false" customHeight="true" outlineLevel="0" collapsed="false">
      <c r="A393" s="41"/>
      <c r="B393" s="42"/>
      <c r="C393" s="42"/>
      <c r="D393" s="43"/>
      <c r="E393" s="44"/>
      <c r="F393" s="45" t="str">
        <f aca="false">IF($B393="","",N($D393)*IF(N($E393)&gt;0,$E393,IFERROR(INDEX(Costos!$K$23:$K$300,MATCH($B393,Costos!$A$23:$A$300,0)),0)))</f>
        <v/>
      </c>
      <c r="G393" s="42"/>
      <c r="H393" s="42"/>
    </row>
    <row r="394" customFormat="false" ht="15.75" hidden="false" customHeight="true" outlineLevel="0" collapsed="false">
      <c r="A394" s="41"/>
      <c r="B394" s="42"/>
      <c r="C394" s="42"/>
      <c r="D394" s="43"/>
      <c r="E394" s="44"/>
      <c r="F394" s="45" t="str">
        <f aca="false">IF($B394="","",N($D394)*IF(N($E394)&gt;0,$E394,IFERROR(INDEX(Costos!$K$23:$K$300,MATCH($B394,Costos!$A$23:$A$300,0)),0)))</f>
        <v/>
      </c>
      <c r="G394" s="42"/>
      <c r="H394" s="42"/>
    </row>
    <row r="395" customFormat="false" ht="15.75" hidden="false" customHeight="true" outlineLevel="0" collapsed="false">
      <c r="A395" s="41"/>
      <c r="B395" s="42"/>
      <c r="C395" s="42"/>
      <c r="D395" s="43"/>
      <c r="E395" s="44"/>
      <c r="F395" s="45" t="str">
        <f aca="false">IF($B395="","",N($D395)*IF(N($E395)&gt;0,$E395,IFERROR(INDEX(Costos!$K$23:$K$300,MATCH($B395,Costos!$A$23:$A$300,0)),0)))</f>
        <v/>
      </c>
      <c r="G395" s="42"/>
      <c r="H395" s="42"/>
    </row>
    <row r="396" customFormat="false" ht="15.75" hidden="false" customHeight="true" outlineLevel="0" collapsed="false">
      <c r="A396" s="41"/>
      <c r="B396" s="42"/>
      <c r="C396" s="42"/>
      <c r="D396" s="43"/>
      <c r="E396" s="44"/>
      <c r="F396" s="45" t="str">
        <f aca="false">IF($B396="","",N($D396)*IF(N($E396)&gt;0,$E396,IFERROR(INDEX(Costos!$K$23:$K$300,MATCH($B396,Costos!$A$23:$A$300,0)),0)))</f>
        <v/>
      </c>
      <c r="G396" s="42"/>
      <c r="H396" s="42"/>
    </row>
    <row r="397" customFormat="false" ht="15.75" hidden="false" customHeight="true" outlineLevel="0" collapsed="false">
      <c r="A397" s="41"/>
      <c r="B397" s="42"/>
      <c r="C397" s="42"/>
      <c r="D397" s="43"/>
      <c r="E397" s="44"/>
      <c r="F397" s="45" t="str">
        <f aca="false">IF($B397="","",N($D397)*IF(N($E397)&gt;0,$E397,IFERROR(INDEX(Costos!$K$23:$K$300,MATCH($B397,Costos!$A$23:$A$300,0)),0)))</f>
        <v/>
      </c>
      <c r="G397" s="42"/>
      <c r="H397" s="42"/>
    </row>
    <row r="398" customFormat="false" ht="15.75" hidden="false" customHeight="true" outlineLevel="0" collapsed="false">
      <c r="A398" s="41"/>
      <c r="B398" s="42"/>
      <c r="C398" s="42"/>
      <c r="D398" s="43"/>
      <c r="E398" s="44"/>
      <c r="F398" s="45" t="str">
        <f aca="false">IF($B398="","",N($D398)*IF(N($E398)&gt;0,$E398,IFERROR(INDEX(Costos!$K$23:$K$300,MATCH($B398,Costos!$A$23:$A$300,0)),0)))</f>
        <v/>
      </c>
      <c r="G398" s="42"/>
      <c r="H398" s="42"/>
    </row>
    <row r="399" customFormat="false" ht="15.75" hidden="false" customHeight="true" outlineLevel="0" collapsed="false">
      <c r="A399" s="41"/>
      <c r="B399" s="42"/>
      <c r="C399" s="42"/>
      <c r="D399" s="43"/>
      <c r="E399" s="44"/>
      <c r="F399" s="45" t="str">
        <f aca="false">IF($B399="","",N($D399)*IF(N($E399)&gt;0,$E399,IFERROR(INDEX(Costos!$K$23:$K$300,MATCH($B399,Costos!$A$23:$A$300,0)),0)))</f>
        <v/>
      </c>
      <c r="G399" s="42"/>
      <c r="H399" s="42"/>
    </row>
    <row r="400" customFormat="false" ht="15.75" hidden="false" customHeight="true" outlineLevel="0" collapsed="false">
      <c r="A400" s="41"/>
      <c r="B400" s="42"/>
      <c r="C400" s="42"/>
      <c r="D400" s="43"/>
      <c r="E400" s="44"/>
      <c r="F400" s="45" t="str">
        <f aca="false">IF($B400="","",N($D400)*IF(N($E400)&gt;0,$E400,IFERROR(INDEX(Costos!$K$23:$K$300,MATCH($B400,Costos!$A$23:$A$300,0)),0)))</f>
        <v/>
      </c>
      <c r="G400" s="42"/>
      <c r="H400" s="42"/>
    </row>
    <row r="401" customFormat="false" ht="15.75" hidden="false" customHeight="true" outlineLevel="0" collapsed="false">
      <c r="A401" s="41"/>
      <c r="B401" s="42"/>
      <c r="C401" s="42"/>
      <c r="D401" s="43"/>
      <c r="E401" s="44"/>
      <c r="F401" s="45" t="str">
        <f aca="false">IF($B401="","",N($D401)*IF(N($E401)&gt;0,$E401,IFERROR(INDEX(Costos!$K$23:$K$300,MATCH($B401,Costos!$A$23:$A$300,0)),0)))</f>
        <v/>
      </c>
      <c r="G401" s="42"/>
      <c r="H401" s="42"/>
    </row>
    <row r="402" customFormat="false" ht="15.75" hidden="false" customHeight="true" outlineLevel="0" collapsed="false">
      <c r="A402" s="41"/>
      <c r="B402" s="42"/>
      <c r="C402" s="42"/>
      <c r="D402" s="43"/>
      <c r="E402" s="44"/>
      <c r="F402" s="45" t="str">
        <f aca="false">IF($B402="","",N($D402)*IF(N($E402)&gt;0,$E402,IFERROR(INDEX(Costos!$K$23:$K$300,MATCH($B402,Costos!$A$23:$A$300,0)),0)))</f>
        <v/>
      </c>
      <c r="G402" s="42"/>
      <c r="H402" s="42"/>
    </row>
    <row r="403" customFormat="false" ht="15.75" hidden="false" customHeight="true" outlineLevel="0" collapsed="false">
      <c r="A403" s="41"/>
      <c r="B403" s="42"/>
      <c r="C403" s="42"/>
      <c r="D403" s="43"/>
      <c r="E403" s="44"/>
      <c r="F403" s="45" t="str">
        <f aca="false">IF($B403="","",N($D403)*IF(N($E403)&gt;0,$E403,IFERROR(INDEX(Costos!$K$23:$K$300,MATCH($B403,Costos!$A$23:$A$300,0)),0)))</f>
        <v/>
      </c>
      <c r="G403" s="42"/>
      <c r="H403" s="42"/>
    </row>
    <row r="404" customFormat="false" ht="15.75" hidden="false" customHeight="true" outlineLevel="0" collapsed="false">
      <c r="A404" s="41"/>
      <c r="B404" s="42"/>
      <c r="C404" s="42"/>
      <c r="D404" s="43"/>
      <c r="E404" s="44"/>
      <c r="F404" s="45" t="str">
        <f aca="false">IF($B404="","",N($D404)*IF(N($E404)&gt;0,$E404,IFERROR(INDEX(Costos!$K$23:$K$300,MATCH($B404,Costos!$A$23:$A$300,0)),0)))</f>
        <v/>
      </c>
      <c r="G404" s="42"/>
      <c r="H404" s="42"/>
    </row>
    <row r="405" customFormat="false" ht="15.75" hidden="false" customHeight="true" outlineLevel="0" collapsed="false">
      <c r="A405" s="41"/>
      <c r="B405" s="42"/>
      <c r="C405" s="42"/>
      <c r="D405" s="43"/>
      <c r="E405" s="44"/>
      <c r="F405" s="45" t="str">
        <f aca="false">IF($B405="","",N($D405)*IF(N($E405)&gt;0,$E405,IFERROR(INDEX(Costos!$K$23:$K$300,MATCH($B405,Costos!$A$23:$A$300,0)),0)))</f>
        <v/>
      </c>
      <c r="G405" s="42"/>
      <c r="H405" s="42"/>
    </row>
    <row r="406" customFormat="false" ht="15.75" hidden="false" customHeight="true" outlineLevel="0" collapsed="false">
      <c r="A406" s="41"/>
      <c r="B406" s="42"/>
      <c r="C406" s="42"/>
      <c r="D406" s="43"/>
      <c r="E406" s="44"/>
      <c r="F406" s="45" t="str">
        <f aca="false">IF($B406="","",N($D406)*IF(N($E406)&gt;0,$E406,IFERROR(INDEX(Costos!$K$23:$K$300,MATCH($B406,Costos!$A$23:$A$300,0)),0)))</f>
        <v/>
      </c>
      <c r="G406" s="42"/>
      <c r="H406" s="42"/>
    </row>
    <row r="407" customFormat="false" ht="15.75" hidden="false" customHeight="true" outlineLevel="0" collapsed="false">
      <c r="A407" s="41"/>
      <c r="B407" s="42"/>
      <c r="C407" s="42"/>
      <c r="D407" s="43"/>
      <c r="E407" s="44"/>
      <c r="F407" s="45" t="str">
        <f aca="false">IF($B407="","",N($D407)*IF(N($E407)&gt;0,$E407,IFERROR(INDEX(Costos!$K$23:$K$300,MATCH($B407,Costos!$A$23:$A$300,0)),0)))</f>
        <v/>
      </c>
      <c r="G407" s="42"/>
      <c r="H407" s="42"/>
    </row>
    <row r="408" customFormat="false" ht="15.75" hidden="false" customHeight="true" outlineLevel="0" collapsed="false">
      <c r="A408" s="41"/>
      <c r="B408" s="42"/>
      <c r="C408" s="42"/>
      <c r="D408" s="43"/>
      <c r="E408" s="44"/>
      <c r="F408" s="45" t="str">
        <f aca="false">IF($B408="","",N($D408)*IF(N($E408)&gt;0,$E408,IFERROR(INDEX(Costos!$K$23:$K$300,MATCH($B408,Costos!$A$23:$A$300,0)),0)))</f>
        <v/>
      </c>
      <c r="G408" s="42"/>
      <c r="H408" s="42"/>
    </row>
    <row r="409" customFormat="false" ht="15.75" hidden="false" customHeight="true" outlineLevel="0" collapsed="false">
      <c r="A409" s="41"/>
      <c r="B409" s="42"/>
      <c r="C409" s="42"/>
      <c r="D409" s="43"/>
      <c r="E409" s="44"/>
      <c r="F409" s="45" t="str">
        <f aca="false">IF($B409="","",N($D409)*IF(N($E409)&gt;0,$E409,IFERROR(INDEX(Costos!$K$23:$K$300,MATCH($B409,Costos!$A$23:$A$300,0)),0)))</f>
        <v/>
      </c>
      <c r="G409" s="42"/>
      <c r="H409" s="42"/>
    </row>
    <row r="410" customFormat="false" ht="15.75" hidden="false" customHeight="true" outlineLevel="0" collapsed="false">
      <c r="A410" s="41"/>
      <c r="B410" s="42"/>
      <c r="C410" s="42"/>
      <c r="D410" s="43"/>
      <c r="E410" s="44"/>
      <c r="F410" s="45" t="str">
        <f aca="false">IF($B410="","",N($D410)*IF(N($E410)&gt;0,$E410,IFERROR(INDEX(Costos!$K$23:$K$300,MATCH($B410,Costos!$A$23:$A$300,0)),0)))</f>
        <v/>
      </c>
      <c r="G410" s="42"/>
      <c r="H410" s="42"/>
    </row>
    <row r="411" customFormat="false" ht="15.75" hidden="false" customHeight="true" outlineLevel="0" collapsed="false">
      <c r="A411" s="41"/>
      <c r="B411" s="42"/>
      <c r="C411" s="42"/>
      <c r="D411" s="43"/>
      <c r="E411" s="44"/>
      <c r="F411" s="45" t="str">
        <f aca="false">IF($B411="","",N($D411)*IF(N($E411)&gt;0,$E411,IFERROR(INDEX(Costos!$K$23:$K$300,MATCH($B411,Costos!$A$23:$A$300,0)),0)))</f>
        <v/>
      </c>
      <c r="G411" s="42"/>
      <c r="H411" s="42"/>
    </row>
    <row r="412" customFormat="false" ht="15.75" hidden="false" customHeight="true" outlineLevel="0" collapsed="false">
      <c r="A412" s="41"/>
      <c r="B412" s="42"/>
      <c r="C412" s="42"/>
      <c r="D412" s="43"/>
      <c r="E412" s="44"/>
      <c r="F412" s="45" t="str">
        <f aca="false">IF($B412="","",N($D412)*IF(N($E412)&gt;0,$E412,IFERROR(INDEX(Costos!$K$23:$K$300,MATCH($B412,Costos!$A$23:$A$300,0)),0)))</f>
        <v/>
      </c>
      <c r="G412" s="42"/>
      <c r="H412" s="42"/>
    </row>
    <row r="413" customFormat="false" ht="15.75" hidden="false" customHeight="true" outlineLevel="0" collapsed="false">
      <c r="A413" s="41"/>
      <c r="B413" s="42"/>
      <c r="C413" s="42"/>
      <c r="D413" s="43"/>
      <c r="E413" s="44"/>
      <c r="F413" s="45" t="str">
        <f aca="false">IF($B413="","",N($D413)*IF(N($E413)&gt;0,$E413,IFERROR(INDEX(Costos!$K$23:$K$300,MATCH($B413,Costos!$A$23:$A$300,0)),0)))</f>
        <v/>
      </c>
      <c r="G413" s="42"/>
      <c r="H413" s="42"/>
    </row>
    <row r="414" customFormat="false" ht="15.75" hidden="false" customHeight="true" outlineLevel="0" collapsed="false">
      <c r="A414" s="41"/>
      <c r="B414" s="42"/>
      <c r="C414" s="42"/>
      <c r="D414" s="43"/>
      <c r="E414" s="44"/>
      <c r="F414" s="45" t="str">
        <f aca="false">IF($B414="","",N($D414)*IF(N($E414)&gt;0,$E414,IFERROR(INDEX(Costos!$K$23:$K$300,MATCH($B414,Costos!$A$23:$A$300,0)),0)))</f>
        <v/>
      </c>
      <c r="G414" s="42"/>
      <c r="H414" s="42"/>
    </row>
    <row r="415" customFormat="false" ht="15.75" hidden="false" customHeight="true" outlineLevel="0" collapsed="false">
      <c r="A415" s="41"/>
      <c r="B415" s="42"/>
      <c r="C415" s="42"/>
      <c r="D415" s="43"/>
      <c r="E415" s="44"/>
      <c r="F415" s="45" t="str">
        <f aca="false">IF($B415="","",N($D415)*IF(N($E415)&gt;0,$E415,IFERROR(INDEX(Costos!$K$23:$K$300,MATCH($B415,Costos!$A$23:$A$300,0)),0)))</f>
        <v/>
      </c>
      <c r="G415" s="42"/>
      <c r="H415" s="42"/>
    </row>
    <row r="416" customFormat="false" ht="15.75" hidden="false" customHeight="true" outlineLevel="0" collapsed="false">
      <c r="A416" s="41"/>
      <c r="B416" s="42"/>
      <c r="C416" s="42"/>
      <c r="D416" s="43"/>
      <c r="E416" s="44"/>
      <c r="F416" s="45" t="str">
        <f aca="false">IF($B416="","",N($D416)*IF(N($E416)&gt;0,$E416,IFERROR(INDEX(Costos!$K$23:$K$300,MATCH($B416,Costos!$A$23:$A$300,0)),0)))</f>
        <v/>
      </c>
      <c r="G416" s="42"/>
      <c r="H416" s="42"/>
    </row>
    <row r="417" customFormat="false" ht="15.75" hidden="false" customHeight="true" outlineLevel="0" collapsed="false">
      <c r="A417" s="41"/>
      <c r="B417" s="42"/>
      <c r="C417" s="42"/>
      <c r="D417" s="43"/>
      <c r="E417" s="44"/>
      <c r="F417" s="45" t="str">
        <f aca="false">IF($B417="","",N($D417)*IF(N($E417)&gt;0,$E417,IFERROR(INDEX(Costos!$K$23:$K$300,MATCH($B417,Costos!$A$23:$A$300,0)),0)))</f>
        <v/>
      </c>
      <c r="G417" s="42"/>
      <c r="H417" s="42"/>
    </row>
    <row r="418" customFormat="false" ht="15.75" hidden="false" customHeight="true" outlineLevel="0" collapsed="false">
      <c r="A418" s="41"/>
      <c r="B418" s="42"/>
      <c r="C418" s="42"/>
      <c r="D418" s="43"/>
      <c r="E418" s="44"/>
      <c r="F418" s="45" t="str">
        <f aca="false">IF($B418="","",N($D418)*IF(N($E418)&gt;0,$E418,IFERROR(INDEX(Costos!$K$23:$K$300,MATCH($B418,Costos!$A$23:$A$300,0)),0)))</f>
        <v/>
      </c>
      <c r="G418" s="42"/>
      <c r="H418" s="42"/>
    </row>
    <row r="419" customFormat="false" ht="15.75" hidden="false" customHeight="true" outlineLevel="0" collapsed="false">
      <c r="A419" s="41"/>
      <c r="B419" s="42"/>
      <c r="C419" s="42"/>
      <c r="D419" s="43"/>
      <c r="E419" s="44"/>
      <c r="F419" s="45" t="str">
        <f aca="false">IF($B419="","",N($D419)*IF(N($E419)&gt;0,$E419,IFERROR(INDEX(Costos!$K$23:$K$300,MATCH($B419,Costos!$A$23:$A$300,0)),0)))</f>
        <v/>
      </c>
      <c r="G419" s="42"/>
      <c r="H419" s="42"/>
    </row>
    <row r="420" customFormat="false" ht="15.75" hidden="false" customHeight="true" outlineLevel="0" collapsed="false">
      <c r="A420" s="41"/>
      <c r="B420" s="42"/>
      <c r="C420" s="42"/>
      <c r="D420" s="43"/>
      <c r="E420" s="44"/>
      <c r="F420" s="45" t="str">
        <f aca="false">IF($B420="","",N($D420)*IF(N($E420)&gt;0,$E420,IFERROR(INDEX(Costos!$K$23:$K$300,MATCH($B420,Costos!$A$23:$A$300,0)),0)))</f>
        <v/>
      </c>
      <c r="G420" s="42"/>
      <c r="H420" s="42"/>
    </row>
    <row r="421" customFormat="false" ht="15.75" hidden="false" customHeight="true" outlineLevel="0" collapsed="false">
      <c r="A421" s="41"/>
      <c r="B421" s="42"/>
      <c r="C421" s="42"/>
      <c r="D421" s="43"/>
      <c r="E421" s="44"/>
      <c r="F421" s="45" t="str">
        <f aca="false">IF($B421="","",N($D421)*IF(N($E421)&gt;0,$E421,IFERROR(INDEX(Costos!$K$23:$K$300,MATCH($B421,Costos!$A$23:$A$300,0)),0)))</f>
        <v/>
      </c>
      <c r="G421" s="42"/>
      <c r="H421" s="42"/>
    </row>
    <row r="422" customFormat="false" ht="15.75" hidden="false" customHeight="true" outlineLevel="0" collapsed="false">
      <c r="A422" s="41"/>
      <c r="B422" s="42"/>
      <c r="C422" s="42"/>
      <c r="D422" s="43"/>
      <c r="E422" s="44"/>
      <c r="F422" s="45" t="str">
        <f aca="false">IF($B422="","",N($D422)*IF(N($E422)&gt;0,$E422,IFERROR(INDEX(Costos!$K$23:$K$300,MATCH($B422,Costos!$A$23:$A$300,0)),0)))</f>
        <v/>
      </c>
      <c r="G422" s="42"/>
      <c r="H422" s="42"/>
    </row>
    <row r="423" customFormat="false" ht="15.75" hidden="false" customHeight="true" outlineLevel="0" collapsed="false">
      <c r="A423" s="41"/>
      <c r="B423" s="42"/>
      <c r="C423" s="42"/>
      <c r="D423" s="43"/>
      <c r="E423" s="44"/>
      <c r="F423" s="45" t="str">
        <f aca="false">IF($B423="","",N($D423)*IF(N($E423)&gt;0,$E423,IFERROR(INDEX(Costos!$K$23:$K$300,MATCH($B423,Costos!$A$23:$A$300,0)),0)))</f>
        <v/>
      </c>
      <c r="G423" s="42"/>
      <c r="H423" s="42"/>
    </row>
    <row r="424" customFormat="false" ht="15.75" hidden="false" customHeight="true" outlineLevel="0" collapsed="false">
      <c r="A424" s="41"/>
      <c r="B424" s="42"/>
      <c r="C424" s="42"/>
      <c r="D424" s="43"/>
      <c r="E424" s="44"/>
      <c r="F424" s="45" t="str">
        <f aca="false">IF($B424="","",N($D424)*IF(N($E424)&gt;0,$E424,IFERROR(INDEX(Costos!$K$23:$K$300,MATCH($B424,Costos!$A$23:$A$300,0)),0)))</f>
        <v/>
      </c>
      <c r="G424" s="42"/>
      <c r="H424" s="42"/>
    </row>
    <row r="425" customFormat="false" ht="15.75" hidden="false" customHeight="true" outlineLevel="0" collapsed="false">
      <c r="A425" s="41"/>
      <c r="B425" s="42"/>
      <c r="C425" s="42"/>
      <c r="D425" s="43"/>
      <c r="E425" s="44"/>
      <c r="F425" s="45" t="str">
        <f aca="false">IF($B425="","",N($D425)*IF(N($E425)&gt;0,$E425,IFERROR(INDEX(Costos!$K$23:$K$300,MATCH($B425,Costos!$A$23:$A$300,0)),0)))</f>
        <v/>
      </c>
      <c r="G425" s="42"/>
      <c r="H425" s="42"/>
    </row>
    <row r="426" customFormat="false" ht="15.75" hidden="false" customHeight="true" outlineLevel="0" collapsed="false">
      <c r="A426" s="41"/>
      <c r="B426" s="42"/>
      <c r="C426" s="42"/>
      <c r="D426" s="43"/>
      <c r="E426" s="44"/>
      <c r="F426" s="45" t="str">
        <f aca="false">IF($B426="","",N($D426)*IF(N($E426)&gt;0,$E426,IFERROR(INDEX(Costos!$K$23:$K$300,MATCH($B426,Costos!$A$23:$A$300,0)),0)))</f>
        <v/>
      </c>
      <c r="G426" s="42"/>
      <c r="H426" s="42"/>
    </row>
    <row r="427" customFormat="false" ht="15.75" hidden="false" customHeight="true" outlineLevel="0" collapsed="false">
      <c r="A427" s="41"/>
      <c r="B427" s="42"/>
      <c r="C427" s="42"/>
      <c r="D427" s="43"/>
      <c r="E427" s="44"/>
      <c r="F427" s="45" t="str">
        <f aca="false">IF($B427="","",N($D427)*IF(N($E427)&gt;0,$E427,IFERROR(INDEX(Costos!$K$23:$K$300,MATCH($B427,Costos!$A$23:$A$300,0)),0)))</f>
        <v/>
      </c>
      <c r="G427" s="42"/>
      <c r="H427" s="42"/>
    </row>
    <row r="428" customFormat="false" ht="15.75" hidden="false" customHeight="true" outlineLevel="0" collapsed="false">
      <c r="A428" s="41"/>
      <c r="B428" s="42"/>
      <c r="C428" s="42"/>
      <c r="D428" s="43"/>
      <c r="E428" s="44"/>
      <c r="F428" s="45" t="str">
        <f aca="false">IF($B428="","",N($D428)*IF(N($E428)&gt;0,$E428,IFERROR(INDEX(Costos!$K$23:$K$300,MATCH($B428,Costos!$A$23:$A$300,0)),0)))</f>
        <v/>
      </c>
      <c r="G428" s="42"/>
      <c r="H428" s="42"/>
    </row>
    <row r="429" customFormat="false" ht="15.75" hidden="false" customHeight="true" outlineLevel="0" collapsed="false">
      <c r="A429" s="41"/>
      <c r="B429" s="42"/>
      <c r="C429" s="42"/>
      <c r="D429" s="43"/>
      <c r="E429" s="44"/>
      <c r="F429" s="45" t="str">
        <f aca="false">IF($B429="","",N($D429)*IF(N($E429)&gt;0,$E429,IFERROR(INDEX(Costos!$K$23:$K$300,MATCH($B429,Costos!$A$23:$A$300,0)),0)))</f>
        <v/>
      </c>
      <c r="G429" s="42"/>
      <c r="H429" s="42"/>
    </row>
    <row r="430" customFormat="false" ht="15.75" hidden="false" customHeight="true" outlineLevel="0" collapsed="false">
      <c r="A430" s="41"/>
      <c r="B430" s="42"/>
      <c r="C430" s="42"/>
      <c r="D430" s="43"/>
      <c r="E430" s="44"/>
      <c r="F430" s="45" t="str">
        <f aca="false">IF($B430="","",N($D430)*IF(N($E430)&gt;0,$E430,IFERROR(INDEX(Costos!$K$23:$K$300,MATCH($B430,Costos!$A$23:$A$300,0)),0)))</f>
        <v/>
      </c>
      <c r="G430" s="42"/>
      <c r="H430" s="42"/>
    </row>
    <row r="431" customFormat="false" ht="15.75" hidden="false" customHeight="true" outlineLevel="0" collapsed="false">
      <c r="A431" s="41"/>
      <c r="B431" s="42"/>
      <c r="C431" s="42"/>
      <c r="D431" s="43"/>
      <c r="E431" s="44"/>
      <c r="F431" s="45" t="str">
        <f aca="false">IF($B431="","",N($D431)*IF(N($E431)&gt;0,$E431,IFERROR(INDEX(Costos!$K$23:$K$300,MATCH($B431,Costos!$A$23:$A$300,0)),0)))</f>
        <v/>
      </c>
      <c r="G431" s="42"/>
      <c r="H431" s="42"/>
    </row>
    <row r="432" customFormat="false" ht="15.75" hidden="false" customHeight="true" outlineLevel="0" collapsed="false">
      <c r="A432" s="41"/>
      <c r="B432" s="42"/>
      <c r="C432" s="42"/>
      <c r="D432" s="43"/>
      <c r="E432" s="44"/>
      <c r="F432" s="45" t="str">
        <f aca="false">IF($B432="","",N($D432)*IF(N($E432)&gt;0,$E432,IFERROR(INDEX(Costos!$K$23:$K$300,MATCH($B432,Costos!$A$23:$A$300,0)),0)))</f>
        <v/>
      </c>
      <c r="G432" s="42"/>
      <c r="H432" s="42"/>
    </row>
    <row r="433" customFormat="false" ht="15.75" hidden="false" customHeight="true" outlineLevel="0" collapsed="false">
      <c r="A433" s="41"/>
      <c r="B433" s="42"/>
      <c r="C433" s="42"/>
      <c r="D433" s="43"/>
      <c r="E433" s="44"/>
      <c r="F433" s="45" t="str">
        <f aca="false">IF($B433="","",N($D433)*IF(N($E433)&gt;0,$E433,IFERROR(INDEX(Costos!$K$23:$K$300,MATCH($B433,Costos!$A$23:$A$300,0)),0)))</f>
        <v/>
      </c>
      <c r="G433" s="42"/>
      <c r="H433" s="42"/>
    </row>
    <row r="434" customFormat="false" ht="15.75" hidden="false" customHeight="true" outlineLevel="0" collapsed="false">
      <c r="A434" s="41"/>
      <c r="B434" s="42"/>
      <c r="C434" s="42"/>
      <c r="D434" s="43"/>
      <c r="E434" s="44"/>
      <c r="F434" s="45" t="str">
        <f aca="false">IF($B434="","",N($D434)*IF(N($E434)&gt;0,$E434,IFERROR(INDEX(Costos!$K$23:$K$300,MATCH($B434,Costos!$A$23:$A$300,0)),0)))</f>
        <v/>
      </c>
      <c r="G434" s="42"/>
      <c r="H434" s="42"/>
    </row>
    <row r="435" customFormat="false" ht="15.75" hidden="false" customHeight="true" outlineLevel="0" collapsed="false">
      <c r="A435" s="41"/>
      <c r="B435" s="42"/>
      <c r="C435" s="42"/>
      <c r="D435" s="43"/>
      <c r="E435" s="44"/>
      <c r="F435" s="45" t="str">
        <f aca="false">IF($B435="","",N($D435)*IF(N($E435)&gt;0,$E435,IFERROR(INDEX(Costos!$K$23:$K$300,MATCH($B435,Costos!$A$23:$A$300,0)),0)))</f>
        <v/>
      </c>
      <c r="G435" s="42"/>
      <c r="H435" s="42"/>
    </row>
    <row r="436" customFormat="false" ht="15.75" hidden="false" customHeight="true" outlineLevel="0" collapsed="false">
      <c r="A436" s="41"/>
      <c r="B436" s="42"/>
      <c r="C436" s="42"/>
      <c r="D436" s="43"/>
      <c r="E436" s="44"/>
      <c r="F436" s="45" t="str">
        <f aca="false">IF($B436="","",N($D436)*IF(N($E436)&gt;0,$E436,IFERROR(INDEX(Costos!$K$23:$K$300,MATCH($B436,Costos!$A$23:$A$300,0)),0)))</f>
        <v/>
      </c>
      <c r="G436" s="42"/>
      <c r="H436" s="42"/>
    </row>
    <row r="437" customFormat="false" ht="15.75" hidden="false" customHeight="true" outlineLevel="0" collapsed="false">
      <c r="A437" s="41"/>
      <c r="B437" s="42"/>
      <c r="C437" s="42"/>
      <c r="D437" s="43"/>
      <c r="E437" s="44"/>
      <c r="F437" s="45" t="str">
        <f aca="false">IF($B437="","",N($D437)*IF(N($E437)&gt;0,$E437,IFERROR(INDEX(Costos!$K$23:$K$300,MATCH($B437,Costos!$A$23:$A$300,0)),0)))</f>
        <v/>
      </c>
      <c r="G437" s="42"/>
      <c r="H437" s="42"/>
    </row>
    <row r="438" customFormat="false" ht="15.75" hidden="false" customHeight="true" outlineLevel="0" collapsed="false">
      <c r="A438" s="41"/>
      <c r="B438" s="42"/>
      <c r="C438" s="42"/>
      <c r="D438" s="43"/>
      <c r="E438" s="44"/>
      <c r="F438" s="45" t="str">
        <f aca="false">IF($B438="","",N($D438)*IF(N($E438)&gt;0,$E438,IFERROR(INDEX(Costos!$K$23:$K$300,MATCH($B438,Costos!$A$23:$A$300,0)),0)))</f>
        <v/>
      </c>
      <c r="G438" s="42"/>
      <c r="H438" s="42"/>
    </row>
    <row r="439" customFormat="false" ht="15.75" hidden="false" customHeight="true" outlineLevel="0" collapsed="false">
      <c r="A439" s="41"/>
      <c r="B439" s="42"/>
      <c r="C439" s="42"/>
      <c r="D439" s="43"/>
      <c r="E439" s="44"/>
      <c r="F439" s="45" t="str">
        <f aca="false">IF($B439="","",N($D439)*IF(N($E439)&gt;0,$E439,IFERROR(INDEX(Costos!$K$23:$K$300,MATCH($B439,Costos!$A$23:$A$300,0)),0)))</f>
        <v/>
      </c>
      <c r="G439" s="42"/>
      <c r="H439" s="42"/>
    </row>
    <row r="440" customFormat="false" ht="15.75" hidden="false" customHeight="true" outlineLevel="0" collapsed="false">
      <c r="A440" s="41"/>
      <c r="B440" s="42"/>
      <c r="C440" s="42"/>
      <c r="D440" s="43"/>
      <c r="E440" s="44"/>
      <c r="F440" s="45" t="str">
        <f aca="false">IF($B440="","",N($D440)*IF(N($E440)&gt;0,$E440,IFERROR(INDEX(Costos!$K$23:$K$300,MATCH($B440,Costos!$A$23:$A$300,0)),0)))</f>
        <v/>
      </c>
      <c r="G440" s="42"/>
      <c r="H440" s="42"/>
    </row>
    <row r="441" customFormat="false" ht="15.75" hidden="false" customHeight="true" outlineLevel="0" collapsed="false">
      <c r="A441" s="41"/>
      <c r="B441" s="42"/>
      <c r="C441" s="42"/>
      <c r="D441" s="43"/>
      <c r="E441" s="44"/>
      <c r="F441" s="45" t="str">
        <f aca="false">IF($B441="","",N($D441)*IF(N($E441)&gt;0,$E441,IFERROR(INDEX(Costos!$K$23:$K$300,MATCH($B441,Costos!$A$23:$A$300,0)),0)))</f>
        <v/>
      </c>
      <c r="G441" s="42"/>
      <c r="H441" s="42"/>
    </row>
    <row r="442" customFormat="false" ht="15.75" hidden="false" customHeight="true" outlineLevel="0" collapsed="false">
      <c r="A442" s="41"/>
      <c r="B442" s="42"/>
      <c r="C442" s="42"/>
      <c r="D442" s="43"/>
      <c r="E442" s="44"/>
      <c r="F442" s="45" t="str">
        <f aca="false">IF($B442="","",N($D442)*IF(N($E442)&gt;0,$E442,IFERROR(INDEX(Costos!$K$23:$K$300,MATCH($B442,Costos!$A$23:$A$300,0)),0)))</f>
        <v/>
      </c>
      <c r="G442" s="42"/>
      <c r="H442" s="42"/>
    </row>
    <row r="443" customFormat="false" ht="15.75" hidden="false" customHeight="true" outlineLevel="0" collapsed="false">
      <c r="A443" s="41"/>
      <c r="B443" s="42"/>
      <c r="C443" s="42"/>
      <c r="D443" s="43"/>
      <c r="E443" s="44"/>
      <c r="F443" s="45" t="str">
        <f aca="false">IF($B443="","",N($D443)*IF(N($E443)&gt;0,$E443,IFERROR(INDEX(Costos!$K$23:$K$300,MATCH($B443,Costos!$A$23:$A$300,0)),0)))</f>
        <v/>
      </c>
      <c r="G443" s="42"/>
      <c r="H443" s="42"/>
    </row>
    <row r="444" customFormat="false" ht="15.75" hidden="false" customHeight="true" outlineLevel="0" collapsed="false">
      <c r="A444" s="41"/>
      <c r="B444" s="42"/>
      <c r="C444" s="42"/>
      <c r="D444" s="43"/>
      <c r="E444" s="44"/>
      <c r="F444" s="45" t="str">
        <f aca="false">IF($B444="","",N($D444)*IF(N($E444)&gt;0,$E444,IFERROR(INDEX(Costos!$K$23:$K$300,MATCH($B444,Costos!$A$23:$A$300,0)),0)))</f>
        <v/>
      </c>
      <c r="G444" s="42"/>
      <c r="H444" s="42"/>
    </row>
    <row r="445" customFormat="false" ht="15.75" hidden="false" customHeight="true" outlineLevel="0" collapsed="false">
      <c r="A445" s="41"/>
      <c r="B445" s="42"/>
      <c r="C445" s="42"/>
      <c r="D445" s="43"/>
      <c r="E445" s="44"/>
      <c r="F445" s="45" t="str">
        <f aca="false">IF($B445="","",N($D445)*IF(N($E445)&gt;0,$E445,IFERROR(INDEX(Costos!$K$23:$K$300,MATCH($B445,Costos!$A$23:$A$300,0)),0)))</f>
        <v/>
      </c>
      <c r="G445" s="42"/>
      <c r="H445" s="42"/>
    </row>
    <row r="446" customFormat="false" ht="15.75" hidden="false" customHeight="true" outlineLevel="0" collapsed="false">
      <c r="A446" s="41"/>
      <c r="B446" s="42"/>
      <c r="C446" s="42"/>
      <c r="D446" s="43"/>
      <c r="E446" s="44"/>
      <c r="F446" s="45" t="str">
        <f aca="false">IF($B446="","",N($D446)*IF(N($E446)&gt;0,$E446,IFERROR(INDEX(Costos!$K$23:$K$300,MATCH($B446,Costos!$A$23:$A$300,0)),0)))</f>
        <v/>
      </c>
      <c r="G446" s="42"/>
      <c r="H446" s="42"/>
    </row>
    <row r="447" customFormat="false" ht="15.75" hidden="false" customHeight="true" outlineLevel="0" collapsed="false">
      <c r="A447" s="41"/>
      <c r="B447" s="42"/>
      <c r="C447" s="42"/>
      <c r="D447" s="43"/>
      <c r="E447" s="44"/>
      <c r="F447" s="45" t="str">
        <f aca="false">IF($B447="","",N($D447)*IF(N($E447)&gt;0,$E447,IFERROR(INDEX(Costos!$K$23:$K$300,MATCH($B447,Costos!$A$23:$A$300,0)),0)))</f>
        <v/>
      </c>
      <c r="G447" s="42"/>
      <c r="H447" s="42"/>
    </row>
    <row r="448" customFormat="false" ht="15.75" hidden="false" customHeight="true" outlineLevel="0" collapsed="false">
      <c r="A448" s="41"/>
      <c r="B448" s="42"/>
      <c r="C448" s="42"/>
      <c r="D448" s="43"/>
      <c r="E448" s="44"/>
      <c r="F448" s="45" t="str">
        <f aca="false">IF($B448="","",N($D448)*IF(N($E448)&gt;0,$E448,IFERROR(INDEX(Costos!$K$23:$K$300,MATCH($B448,Costos!$A$23:$A$300,0)),0)))</f>
        <v/>
      </c>
      <c r="G448" s="42"/>
      <c r="H448" s="42"/>
    </row>
    <row r="449" customFormat="false" ht="15.75" hidden="false" customHeight="true" outlineLevel="0" collapsed="false">
      <c r="A449" s="41"/>
      <c r="B449" s="42"/>
      <c r="C449" s="42"/>
      <c r="D449" s="43"/>
      <c r="E449" s="44"/>
      <c r="F449" s="45" t="str">
        <f aca="false">IF($B449="","",N($D449)*IF(N($E449)&gt;0,$E449,IFERROR(INDEX(Costos!$K$23:$K$300,MATCH($B449,Costos!$A$23:$A$300,0)),0)))</f>
        <v/>
      </c>
      <c r="G449" s="42"/>
      <c r="H449" s="42"/>
    </row>
    <row r="450" customFormat="false" ht="15.75" hidden="false" customHeight="true" outlineLevel="0" collapsed="false">
      <c r="A450" s="41"/>
      <c r="B450" s="42"/>
      <c r="C450" s="42"/>
      <c r="D450" s="43"/>
      <c r="E450" s="44"/>
      <c r="F450" s="45" t="str">
        <f aca="false">IF($B450="","",N($D450)*IF(N($E450)&gt;0,$E450,IFERROR(INDEX(Costos!$K$23:$K$300,MATCH($B450,Costos!$A$23:$A$300,0)),0)))</f>
        <v/>
      </c>
      <c r="G450" s="42"/>
      <c r="H450" s="42"/>
    </row>
    <row r="451" customFormat="false" ht="15.75" hidden="false" customHeight="true" outlineLevel="0" collapsed="false">
      <c r="A451" s="41"/>
      <c r="B451" s="42"/>
      <c r="C451" s="42"/>
      <c r="D451" s="43"/>
      <c r="E451" s="44"/>
      <c r="F451" s="45" t="str">
        <f aca="false">IF($B451="","",N($D451)*IF(N($E451)&gt;0,$E451,IFERROR(INDEX(Costos!$K$23:$K$300,MATCH($B451,Costos!$A$23:$A$300,0)),0)))</f>
        <v/>
      </c>
      <c r="G451" s="42"/>
      <c r="H451" s="42"/>
    </row>
    <row r="452" customFormat="false" ht="15.75" hidden="false" customHeight="true" outlineLevel="0" collapsed="false">
      <c r="A452" s="41"/>
      <c r="B452" s="42"/>
      <c r="C452" s="42"/>
      <c r="D452" s="43"/>
      <c r="E452" s="44"/>
      <c r="F452" s="45" t="str">
        <f aca="false">IF($B452="","",N($D452)*IF(N($E452)&gt;0,$E452,IFERROR(INDEX(Costos!$K$23:$K$300,MATCH($B452,Costos!$A$23:$A$300,0)),0)))</f>
        <v/>
      </c>
      <c r="G452" s="42"/>
      <c r="H452" s="42"/>
    </row>
    <row r="453" customFormat="false" ht="15.75" hidden="false" customHeight="true" outlineLevel="0" collapsed="false">
      <c r="A453" s="41"/>
      <c r="B453" s="42"/>
      <c r="C453" s="42"/>
      <c r="D453" s="43"/>
      <c r="E453" s="44"/>
      <c r="F453" s="45" t="str">
        <f aca="false">IF($B453="","",N($D453)*IF(N($E453)&gt;0,$E453,IFERROR(INDEX(Costos!$K$23:$K$300,MATCH($B453,Costos!$A$23:$A$300,0)),0)))</f>
        <v/>
      </c>
      <c r="G453" s="42"/>
      <c r="H453" s="42"/>
    </row>
    <row r="454" customFormat="false" ht="15.75" hidden="false" customHeight="true" outlineLevel="0" collapsed="false">
      <c r="A454" s="41"/>
      <c r="B454" s="42"/>
      <c r="C454" s="42"/>
      <c r="D454" s="43"/>
      <c r="E454" s="44"/>
      <c r="F454" s="45" t="str">
        <f aca="false">IF($B454="","",N($D454)*IF(N($E454)&gt;0,$E454,IFERROR(INDEX(Costos!$K$23:$K$300,MATCH($B454,Costos!$A$23:$A$300,0)),0)))</f>
        <v/>
      </c>
      <c r="G454" s="42"/>
      <c r="H454" s="42"/>
    </row>
    <row r="455" customFormat="false" ht="15.75" hidden="false" customHeight="true" outlineLevel="0" collapsed="false">
      <c r="A455" s="41"/>
      <c r="B455" s="42"/>
      <c r="C455" s="42"/>
      <c r="D455" s="43"/>
      <c r="E455" s="44"/>
      <c r="F455" s="45" t="str">
        <f aca="false">IF($B455="","",N($D455)*IF(N($E455)&gt;0,$E455,IFERROR(INDEX(Costos!$K$23:$K$300,MATCH($B455,Costos!$A$23:$A$300,0)),0)))</f>
        <v/>
      </c>
      <c r="G455" s="42"/>
      <c r="H455" s="42"/>
    </row>
    <row r="456" customFormat="false" ht="15.75" hidden="false" customHeight="true" outlineLevel="0" collapsed="false">
      <c r="A456" s="41"/>
      <c r="B456" s="42"/>
      <c r="C456" s="42"/>
      <c r="D456" s="43"/>
      <c r="E456" s="44"/>
      <c r="F456" s="45" t="str">
        <f aca="false">IF($B456="","",N($D456)*IF(N($E456)&gt;0,$E456,IFERROR(INDEX(Costos!$K$23:$K$300,MATCH($B456,Costos!$A$23:$A$300,0)),0)))</f>
        <v/>
      </c>
      <c r="G456" s="42"/>
      <c r="H456" s="42"/>
    </row>
    <row r="457" customFormat="false" ht="15.75" hidden="false" customHeight="true" outlineLevel="0" collapsed="false">
      <c r="A457" s="41"/>
      <c r="B457" s="42"/>
      <c r="C457" s="42"/>
      <c r="D457" s="43"/>
      <c r="E457" s="44"/>
      <c r="F457" s="45" t="str">
        <f aca="false">IF($B457="","",N($D457)*IF(N($E457)&gt;0,$E457,IFERROR(INDEX(Costos!$K$23:$K$300,MATCH($B457,Costos!$A$23:$A$300,0)),0)))</f>
        <v/>
      </c>
      <c r="G457" s="42"/>
      <c r="H457" s="42"/>
    </row>
    <row r="458" customFormat="false" ht="15.75" hidden="false" customHeight="true" outlineLevel="0" collapsed="false">
      <c r="A458" s="41"/>
      <c r="B458" s="42"/>
      <c r="C458" s="42"/>
      <c r="D458" s="43"/>
      <c r="E458" s="44"/>
      <c r="F458" s="45" t="str">
        <f aca="false">IF($B458="","",N($D458)*IF(N($E458)&gt;0,$E458,IFERROR(INDEX(Costos!$K$23:$K$300,MATCH($B458,Costos!$A$23:$A$300,0)),0)))</f>
        <v/>
      </c>
      <c r="G458" s="42"/>
      <c r="H458" s="42"/>
    </row>
    <row r="459" customFormat="false" ht="15.75" hidden="false" customHeight="true" outlineLevel="0" collapsed="false">
      <c r="A459" s="41"/>
      <c r="B459" s="42"/>
      <c r="C459" s="42"/>
      <c r="D459" s="43"/>
      <c r="E459" s="44"/>
      <c r="F459" s="45" t="str">
        <f aca="false">IF($B459="","",N($D459)*IF(N($E459)&gt;0,$E459,IFERROR(INDEX(Costos!$K$23:$K$300,MATCH($B459,Costos!$A$23:$A$300,0)),0)))</f>
        <v/>
      </c>
      <c r="G459" s="42"/>
      <c r="H459" s="42"/>
    </row>
    <row r="460" customFormat="false" ht="15.75" hidden="false" customHeight="true" outlineLevel="0" collapsed="false">
      <c r="A460" s="41"/>
      <c r="B460" s="42"/>
      <c r="C460" s="42"/>
      <c r="D460" s="43"/>
      <c r="E460" s="44"/>
      <c r="F460" s="45" t="str">
        <f aca="false">IF($B460="","",N($D460)*IF(N($E460)&gt;0,$E460,IFERROR(INDEX(Costos!$K$23:$K$300,MATCH($B460,Costos!$A$23:$A$300,0)),0)))</f>
        <v/>
      </c>
      <c r="G460" s="42"/>
      <c r="H460" s="42"/>
    </row>
    <row r="461" customFormat="false" ht="15.75" hidden="false" customHeight="true" outlineLevel="0" collapsed="false">
      <c r="A461" s="41"/>
      <c r="B461" s="42"/>
      <c r="C461" s="42"/>
      <c r="D461" s="43"/>
      <c r="E461" s="44"/>
      <c r="F461" s="45" t="str">
        <f aca="false">IF($B461="","",N($D461)*IF(N($E461)&gt;0,$E461,IFERROR(INDEX(Costos!$K$23:$K$300,MATCH($B461,Costos!$A$23:$A$300,0)),0)))</f>
        <v/>
      </c>
      <c r="G461" s="42"/>
      <c r="H461" s="42"/>
    </row>
    <row r="462" customFormat="false" ht="15.75" hidden="false" customHeight="true" outlineLevel="0" collapsed="false">
      <c r="A462" s="41"/>
      <c r="B462" s="42"/>
      <c r="C462" s="42"/>
      <c r="D462" s="43"/>
      <c r="E462" s="44"/>
      <c r="F462" s="45" t="str">
        <f aca="false">IF($B462="","",N($D462)*IF(N($E462)&gt;0,$E462,IFERROR(INDEX(Costos!$K$23:$K$300,MATCH($B462,Costos!$A$23:$A$300,0)),0)))</f>
        <v/>
      </c>
      <c r="G462" s="42"/>
      <c r="H462" s="42"/>
    </row>
    <row r="463" customFormat="false" ht="15.75" hidden="false" customHeight="true" outlineLevel="0" collapsed="false">
      <c r="A463" s="41"/>
      <c r="B463" s="42"/>
      <c r="C463" s="42"/>
      <c r="D463" s="43"/>
      <c r="E463" s="44"/>
      <c r="F463" s="45" t="str">
        <f aca="false">IF($B463="","",N($D463)*IF(N($E463)&gt;0,$E463,IFERROR(INDEX(Costos!$K$23:$K$300,MATCH($B463,Costos!$A$23:$A$300,0)),0)))</f>
        <v/>
      </c>
      <c r="G463" s="42"/>
      <c r="H463" s="42"/>
    </row>
    <row r="464" customFormat="false" ht="15.75" hidden="false" customHeight="true" outlineLevel="0" collapsed="false">
      <c r="A464" s="41"/>
      <c r="B464" s="42"/>
      <c r="C464" s="42"/>
      <c r="D464" s="43"/>
      <c r="E464" s="44"/>
      <c r="F464" s="45" t="str">
        <f aca="false">IF($B464="","",N($D464)*IF(N($E464)&gt;0,$E464,IFERROR(INDEX(Costos!$K$23:$K$300,MATCH($B464,Costos!$A$23:$A$300,0)),0)))</f>
        <v/>
      </c>
      <c r="G464" s="42"/>
      <c r="H464" s="42"/>
    </row>
    <row r="465" customFormat="false" ht="15.75" hidden="false" customHeight="true" outlineLevel="0" collapsed="false">
      <c r="A465" s="41"/>
      <c r="B465" s="42"/>
      <c r="C465" s="42"/>
      <c r="D465" s="43"/>
      <c r="E465" s="44"/>
      <c r="F465" s="45" t="str">
        <f aca="false">IF($B465="","",N($D465)*IF(N($E465)&gt;0,$E465,IFERROR(INDEX(Costos!$K$23:$K$300,MATCH($B465,Costos!$A$23:$A$300,0)),0)))</f>
        <v/>
      </c>
      <c r="G465" s="42"/>
      <c r="H465" s="42"/>
    </row>
    <row r="466" customFormat="false" ht="15.75" hidden="false" customHeight="true" outlineLevel="0" collapsed="false">
      <c r="A466" s="41"/>
      <c r="B466" s="42"/>
      <c r="C466" s="42"/>
      <c r="D466" s="43"/>
      <c r="E466" s="44"/>
      <c r="F466" s="45" t="str">
        <f aca="false">IF($B466="","",N($D466)*IF(N($E466)&gt;0,$E466,IFERROR(INDEX(Costos!$K$23:$K$300,MATCH($B466,Costos!$A$23:$A$300,0)),0)))</f>
        <v/>
      </c>
      <c r="G466" s="42"/>
      <c r="H466" s="42"/>
    </row>
    <row r="467" customFormat="false" ht="15.75" hidden="false" customHeight="true" outlineLevel="0" collapsed="false">
      <c r="A467" s="41"/>
      <c r="B467" s="42"/>
      <c r="C467" s="42"/>
      <c r="D467" s="43"/>
      <c r="E467" s="44"/>
      <c r="F467" s="45" t="str">
        <f aca="false">IF($B467="","",N($D467)*IF(N($E467)&gt;0,$E467,IFERROR(INDEX(Costos!$K$23:$K$300,MATCH($B467,Costos!$A$23:$A$300,0)),0)))</f>
        <v/>
      </c>
      <c r="G467" s="42"/>
      <c r="H467" s="42"/>
    </row>
    <row r="468" customFormat="false" ht="15.75" hidden="false" customHeight="true" outlineLevel="0" collapsed="false">
      <c r="A468" s="41"/>
      <c r="B468" s="42"/>
      <c r="C468" s="42"/>
      <c r="D468" s="43"/>
      <c r="E468" s="44"/>
      <c r="F468" s="45" t="str">
        <f aca="false">IF($B468="","",N($D468)*IF(N($E468)&gt;0,$E468,IFERROR(INDEX(Costos!$K$23:$K$300,MATCH($B468,Costos!$A$23:$A$300,0)),0)))</f>
        <v/>
      </c>
      <c r="G468" s="42"/>
      <c r="H468" s="42"/>
    </row>
    <row r="469" customFormat="false" ht="15.75" hidden="false" customHeight="true" outlineLevel="0" collapsed="false">
      <c r="A469" s="41"/>
      <c r="B469" s="42"/>
      <c r="C469" s="42"/>
      <c r="D469" s="43"/>
      <c r="E469" s="44"/>
      <c r="F469" s="45" t="str">
        <f aca="false">IF($B469="","",N($D469)*IF(N($E469)&gt;0,$E469,IFERROR(INDEX(Costos!$K$23:$K$300,MATCH($B469,Costos!$A$23:$A$300,0)),0)))</f>
        <v/>
      </c>
      <c r="G469" s="42"/>
      <c r="H469" s="42"/>
    </row>
    <row r="470" customFormat="false" ht="15.75" hidden="false" customHeight="true" outlineLevel="0" collapsed="false">
      <c r="A470" s="41"/>
      <c r="B470" s="42"/>
      <c r="C470" s="42"/>
      <c r="D470" s="43"/>
      <c r="E470" s="44"/>
      <c r="F470" s="45" t="str">
        <f aca="false">IF($B470="","",N($D470)*IF(N($E470)&gt;0,$E470,IFERROR(INDEX(Costos!$K$23:$K$300,MATCH($B470,Costos!$A$23:$A$300,0)),0)))</f>
        <v/>
      </c>
      <c r="G470" s="42"/>
      <c r="H470" s="42"/>
    </row>
    <row r="471" customFormat="false" ht="15.75" hidden="false" customHeight="true" outlineLevel="0" collapsed="false">
      <c r="A471" s="41"/>
      <c r="B471" s="42"/>
      <c r="C471" s="42"/>
      <c r="D471" s="43"/>
      <c r="E471" s="44"/>
      <c r="F471" s="45" t="str">
        <f aca="false">IF($B471="","",N($D471)*IF(N($E471)&gt;0,$E471,IFERROR(INDEX(Costos!$K$23:$K$300,MATCH($B471,Costos!$A$23:$A$300,0)),0)))</f>
        <v/>
      </c>
      <c r="G471" s="42"/>
      <c r="H471" s="42"/>
    </row>
    <row r="472" customFormat="false" ht="15.75" hidden="false" customHeight="true" outlineLevel="0" collapsed="false">
      <c r="A472" s="41"/>
      <c r="B472" s="42"/>
      <c r="C472" s="42"/>
      <c r="D472" s="43"/>
      <c r="E472" s="44"/>
      <c r="F472" s="45" t="str">
        <f aca="false">IF($B472="","",N($D472)*IF(N($E472)&gt;0,$E472,IFERROR(INDEX(Costos!$K$23:$K$300,MATCH($B472,Costos!$A$23:$A$300,0)),0)))</f>
        <v/>
      </c>
      <c r="G472" s="42"/>
      <c r="H472" s="42"/>
    </row>
    <row r="473" customFormat="false" ht="15.75" hidden="false" customHeight="true" outlineLevel="0" collapsed="false">
      <c r="A473" s="41"/>
      <c r="B473" s="42"/>
      <c r="C473" s="42"/>
      <c r="D473" s="43"/>
      <c r="E473" s="44"/>
      <c r="F473" s="45" t="str">
        <f aca="false">IF($B473="","",N($D473)*IF(N($E473)&gt;0,$E473,IFERROR(INDEX(Costos!$K$23:$K$300,MATCH($B473,Costos!$A$23:$A$300,0)),0)))</f>
        <v/>
      </c>
      <c r="G473" s="42"/>
      <c r="H473" s="42"/>
    </row>
    <row r="474" customFormat="false" ht="15.75" hidden="false" customHeight="true" outlineLevel="0" collapsed="false">
      <c r="A474" s="41"/>
      <c r="B474" s="42"/>
      <c r="C474" s="42"/>
      <c r="D474" s="43"/>
      <c r="E474" s="44"/>
      <c r="F474" s="45" t="str">
        <f aca="false">IF($B474="","",N($D474)*IF(N($E474)&gt;0,$E474,IFERROR(INDEX(Costos!$K$23:$K$300,MATCH($B474,Costos!$A$23:$A$300,0)),0)))</f>
        <v/>
      </c>
      <c r="G474" s="42"/>
      <c r="H474" s="42"/>
    </row>
    <row r="475" customFormat="false" ht="15.75" hidden="false" customHeight="true" outlineLevel="0" collapsed="false">
      <c r="A475" s="41"/>
      <c r="B475" s="42"/>
      <c r="C475" s="42"/>
      <c r="D475" s="43"/>
      <c r="E475" s="44"/>
      <c r="F475" s="45" t="str">
        <f aca="false">IF($B475="","",N($D475)*IF(N($E475)&gt;0,$E475,IFERROR(INDEX(Costos!$K$23:$K$300,MATCH($B475,Costos!$A$23:$A$300,0)),0)))</f>
        <v/>
      </c>
      <c r="G475" s="42"/>
      <c r="H475" s="42"/>
    </row>
    <row r="476" customFormat="false" ht="15.75" hidden="false" customHeight="true" outlineLevel="0" collapsed="false">
      <c r="A476" s="41"/>
      <c r="B476" s="42"/>
      <c r="C476" s="42"/>
      <c r="D476" s="43"/>
      <c r="E476" s="44"/>
      <c r="F476" s="45" t="str">
        <f aca="false">IF($B476="","",N($D476)*IF(N($E476)&gt;0,$E476,IFERROR(INDEX(Costos!$K$23:$K$300,MATCH($B476,Costos!$A$23:$A$300,0)),0)))</f>
        <v/>
      </c>
      <c r="G476" s="42"/>
      <c r="H476" s="42"/>
    </row>
    <row r="477" customFormat="false" ht="15.75" hidden="false" customHeight="true" outlineLevel="0" collapsed="false">
      <c r="A477" s="41"/>
      <c r="B477" s="42"/>
      <c r="C477" s="42"/>
      <c r="D477" s="43"/>
      <c r="E477" s="44"/>
      <c r="F477" s="45" t="str">
        <f aca="false">IF($B477="","",N($D477)*IF(N($E477)&gt;0,$E477,IFERROR(INDEX(Costos!$K$23:$K$300,MATCH($B477,Costos!$A$23:$A$300,0)),0)))</f>
        <v/>
      </c>
      <c r="G477" s="42"/>
      <c r="H477" s="42"/>
    </row>
    <row r="478" customFormat="false" ht="15.75" hidden="false" customHeight="true" outlineLevel="0" collapsed="false">
      <c r="A478" s="41"/>
      <c r="B478" s="42"/>
      <c r="C478" s="42"/>
      <c r="D478" s="43"/>
      <c r="E478" s="44"/>
      <c r="F478" s="45" t="str">
        <f aca="false">IF($B478="","",N($D478)*IF(N($E478)&gt;0,$E478,IFERROR(INDEX(Costos!$K$23:$K$300,MATCH($B478,Costos!$A$23:$A$300,0)),0)))</f>
        <v/>
      </c>
      <c r="G478" s="42"/>
      <c r="H478" s="42"/>
    </row>
    <row r="479" customFormat="false" ht="15.75" hidden="false" customHeight="true" outlineLevel="0" collapsed="false">
      <c r="A479" s="41"/>
      <c r="B479" s="42"/>
      <c r="C479" s="42"/>
      <c r="D479" s="43"/>
      <c r="E479" s="44"/>
      <c r="F479" s="45" t="str">
        <f aca="false">IF($B479="","",N($D479)*IF(N($E479)&gt;0,$E479,IFERROR(INDEX(Costos!$K$23:$K$300,MATCH($B479,Costos!$A$23:$A$300,0)),0)))</f>
        <v/>
      </c>
      <c r="G479" s="42"/>
      <c r="H479" s="42"/>
    </row>
    <row r="480" customFormat="false" ht="15.75" hidden="false" customHeight="true" outlineLevel="0" collapsed="false">
      <c r="A480" s="41"/>
      <c r="B480" s="42"/>
      <c r="C480" s="42"/>
      <c r="D480" s="43"/>
      <c r="E480" s="44"/>
      <c r="F480" s="45" t="str">
        <f aca="false">IF($B480="","",N($D480)*IF(N($E480)&gt;0,$E480,IFERROR(INDEX(Costos!$K$23:$K$300,MATCH($B480,Costos!$A$23:$A$300,0)),0)))</f>
        <v/>
      </c>
      <c r="G480" s="42"/>
      <c r="H480" s="42"/>
    </row>
    <row r="481" customFormat="false" ht="15.75" hidden="false" customHeight="true" outlineLevel="0" collapsed="false">
      <c r="A481" s="41"/>
      <c r="B481" s="42"/>
      <c r="C481" s="42"/>
      <c r="D481" s="43"/>
      <c r="E481" s="44"/>
      <c r="F481" s="45" t="str">
        <f aca="false">IF($B481="","",N($D481)*IF(N($E481)&gt;0,$E481,IFERROR(INDEX(Costos!$K$23:$K$300,MATCH($B481,Costos!$A$23:$A$300,0)),0)))</f>
        <v/>
      </c>
      <c r="G481" s="42"/>
      <c r="H481" s="42"/>
    </row>
    <row r="482" customFormat="false" ht="15.75" hidden="false" customHeight="true" outlineLevel="0" collapsed="false">
      <c r="A482" s="41"/>
      <c r="B482" s="42"/>
      <c r="C482" s="42"/>
      <c r="D482" s="43"/>
      <c r="E482" s="44"/>
      <c r="F482" s="45" t="str">
        <f aca="false">IF($B482="","",N($D482)*IF(N($E482)&gt;0,$E482,IFERROR(INDEX(Costos!$K$23:$K$300,MATCH($B482,Costos!$A$23:$A$300,0)),0)))</f>
        <v/>
      </c>
      <c r="G482" s="42"/>
      <c r="H482" s="42"/>
    </row>
    <row r="483" customFormat="false" ht="15.75" hidden="false" customHeight="true" outlineLevel="0" collapsed="false">
      <c r="A483" s="41"/>
      <c r="B483" s="42"/>
      <c r="C483" s="42"/>
      <c r="D483" s="43"/>
      <c r="E483" s="44"/>
      <c r="F483" s="45" t="str">
        <f aca="false">IF($B483="","",N($D483)*IF(N($E483)&gt;0,$E483,IFERROR(INDEX(Costos!$K$23:$K$300,MATCH($B483,Costos!$A$23:$A$300,0)),0)))</f>
        <v/>
      </c>
      <c r="G483" s="42"/>
      <c r="H483" s="42"/>
    </row>
    <row r="484" customFormat="false" ht="15.75" hidden="false" customHeight="true" outlineLevel="0" collapsed="false">
      <c r="A484" s="41"/>
      <c r="B484" s="42"/>
      <c r="C484" s="42"/>
      <c r="D484" s="43"/>
      <c r="E484" s="44"/>
      <c r="F484" s="45" t="str">
        <f aca="false">IF($B484="","",N($D484)*IF(N($E484)&gt;0,$E484,IFERROR(INDEX(Costos!$K$23:$K$300,MATCH($B484,Costos!$A$23:$A$300,0)),0)))</f>
        <v/>
      </c>
      <c r="G484" s="42"/>
      <c r="H484" s="42"/>
    </row>
    <row r="485" customFormat="false" ht="15.75" hidden="false" customHeight="true" outlineLevel="0" collapsed="false">
      <c r="A485" s="41"/>
      <c r="B485" s="42"/>
      <c r="C485" s="42"/>
      <c r="D485" s="43"/>
      <c r="E485" s="44"/>
      <c r="F485" s="45" t="str">
        <f aca="false">IF($B485="","",N($D485)*IF(N($E485)&gt;0,$E485,IFERROR(INDEX(Costos!$K$23:$K$300,MATCH($B485,Costos!$A$23:$A$300,0)),0)))</f>
        <v/>
      </c>
      <c r="G485" s="42"/>
      <c r="H485" s="42"/>
    </row>
    <row r="486" customFormat="false" ht="15.75" hidden="false" customHeight="true" outlineLevel="0" collapsed="false">
      <c r="A486" s="41"/>
      <c r="B486" s="42"/>
      <c r="C486" s="42"/>
      <c r="D486" s="43"/>
      <c r="E486" s="44"/>
      <c r="F486" s="45" t="str">
        <f aca="false">IF($B486="","",N($D486)*IF(N($E486)&gt;0,$E486,IFERROR(INDEX(Costos!$K$23:$K$300,MATCH($B486,Costos!$A$23:$A$300,0)),0)))</f>
        <v/>
      </c>
      <c r="G486" s="42"/>
      <c r="H486" s="42"/>
    </row>
    <row r="487" customFormat="false" ht="15.75" hidden="false" customHeight="true" outlineLevel="0" collapsed="false">
      <c r="A487" s="41"/>
      <c r="B487" s="42"/>
      <c r="C487" s="42"/>
      <c r="D487" s="43"/>
      <c r="E487" s="44"/>
      <c r="F487" s="45" t="str">
        <f aca="false">IF($B487="","",N($D487)*IF(N($E487)&gt;0,$E487,IFERROR(INDEX(Costos!$K$23:$K$300,MATCH($B487,Costos!$A$23:$A$300,0)),0)))</f>
        <v/>
      </c>
      <c r="G487" s="42"/>
      <c r="H487" s="42"/>
    </row>
    <row r="488" customFormat="false" ht="15.75" hidden="false" customHeight="true" outlineLevel="0" collapsed="false">
      <c r="A488" s="41"/>
      <c r="B488" s="42"/>
      <c r="C488" s="42"/>
      <c r="D488" s="43"/>
      <c r="E488" s="44"/>
      <c r="F488" s="45" t="str">
        <f aca="false">IF($B488="","",N($D488)*IF(N($E488)&gt;0,$E488,IFERROR(INDEX(Costos!$K$23:$K$300,MATCH($B488,Costos!$A$23:$A$300,0)),0)))</f>
        <v/>
      </c>
      <c r="G488" s="42"/>
      <c r="H488" s="42"/>
    </row>
    <row r="489" customFormat="false" ht="15.75" hidden="false" customHeight="true" outlineLevel="0" collapsed="false">
      <c r="A489" s="41"/>
      <c r="B489" s="42"/>
      <c r="C489" s="42"/>
      <c r="D489" s="43"/>
      <c r="E489" s="44"/>
      <c r="F489" s="45" t="str">
        <f aca="false">IF($B489="","",N($D489)*IF(N($E489)&gt;0,$E489,IFERROR(INDEX(Costos!$K$23:$K$300,MATCH($B489,Costos!$A$23:$A$300,0)),0)))</f>
        <v/>
      </c>
      <c r="G489" s="42"/>
      <c r="H489" s="42"/>
    </row>
    <row r="490" customFormat="false" ht="15.75" hidden="false" customHeight="true" outlineLevel="0" collapsed="false">
      <c r="A490" s="41"/>
      <c r="B490" s="42"/>
      <c r="C490" s="42"/>
      <c r="D490" s="43"/>
      <c r="E490" s="44"/>
      <c r="F490" s="45" t="str">
        <f aca="false">IF($B490="","",N($D490)*IF(N($E490)&gt;0,$E490,IFERROR(INDEX(Costos!$K$23:$K$300,MATCH($B490,Costos!$A$23:$A$300,0)),0)))</f>
        <v/>
      </c>
      <c r="G490" s="42"/>
      <c r="H490" s="42"/>
    </row>
    <row r="491" customFormat="false" ht="15.75" hidden="false" customHeight="true" outlineLevel="0" collapsed="false">
      <c r="A491" s="41"/>
      <c r="B491" s="42"/>
      <c r="C491" s="42"/>
      <c r="D491" s="43"/>
      <c r="E491" s="44"/>
      <c r="F491" s="45" t="str">
        <f aca="false">IF($B491="","",N($D491)*IF(N($E491)&gt;0,$E491,IFERROR(INDEX(Costos!$K$23:$K$300,MATCH($B491,Costos!$A$23:$A$300,0)),0)))</f>
        <v/>
      </c>
      <c r="G491" s="42"/>
      <c r="H491" s="42"/>
    </row>
    <row r="492" customFormat="false" ht="15.75" hidden="false" customHeight="true" outlineLevel="0" collapsed="false">
      <c r="A492" s="41"/>
      <c r="B492" s="42"/>
      <c r="C492" s="42"/>
      <c r="D492" s="43"/>
      <c r="E492" s="44"/>
      <c r="F492" s="45" t="str">
        <f aca="false">IF($B492="","",N($D492)*IF(N($E492)&gt;0,$E492,IFERROR(INDEX(Costos!$K$23:$K$300,MATCH($B492,Costos!$A$23:$A$300,0)),0)))</f>
        <v/>
      </c>
      <c r="G492" s="42"/>
      <c r="H492" s="42"/>
    </row>
    <row r="493" customFormat="false" ht="15.75" hidden="false" customHeight="true" outlineLevel="0" collapsed="false">
      <c r="A493" s="41"/>
      <c r="B493" s="42"/>
      <c r="C493" s="42"/>
      <c r="D493" s="43"/>
      <c r="E493" s="44"/>
      <c r="F493" s="45" t="str">
        <f aca="false">IF($B493="","",N($D493)*IF(N($E493)&gt;0,$E493,IFERROR(INDEX(Costos!$K$23:$K$300,MATCH($B493,Costos!$A$23:$A$300,0)),0)))</f>
        <v/>
      </c>
      <c r="G493" s="42"/>
      <c r="H493" s="42"/>
    </row>
    <row r="494" customFormat="false" ht="15.75" hidden="false" customHeight="true" outlineLevel="0" collapsed="false">
      <c r="A494" s="41"/>
      <c r="B494" s="42"/>
      <c r="C494" s="42"/>
      <c r="D494" s="43"/>
      <c r="E494" s="44"/>
      <c r="F494" s="45" t="str">
        <f aca="false">IF($B494="","",N($D494)*IF(N($E494)&gt;0,$E494,IFERROR(INDEX(Costos!$K$23:$K$300,MATCH($B494,Costos!$A$23:$A$300,0)),0)))</f>
        <v/>
      </c>
      <c r="G494" s="42"/>
      <c r="H494" s="42"/>
    </row>
    <row r="495" customFormat="false" ht="15.75" hidden="false" customHeight="true" outlineLevel="0" collapsed="false">
      <c r="A495" s="41"/>
      <c r="B495" s="42"/>
      <c r="C495" s="42"/>
      <c r="D495" s="43"/>
      <c r="E495" s="44"/>
      <c r="F495" s="45" t="str">
        <f aca="false">IF($B495="","",N($D495)*IF(N($E495)&gt;0,$E495,IFERROR(INDEX(Costos!$K$23:$K$300,MATCH($B495,Costos!$A$23:$A$300,0)),0)))</f>
        <v/>
      </c>
      <c r="G495" s="42"/>
      <c r="H495" s="42"/>
    </row>
    <row r="496" customFormat="false" ht="15.75" hidden="false" customHeight="true" outlineLevel="0" collapsed="false">
      <c r="A496" s="41"/>
      <c r="B496" s="42"/>
      <c r="C496" s="42"/>
      <c r="D496" s="43"/>
      <c r="E496" s="44"/>
      <c r="F496" s="45" t="str">
        <f aca="false">IF($B496="","",N($D496)*IF(N($E496)&gt;0,$E496,IFERROR(INDEX(Costos!$K$23:$K$300,MATCH($B496,Costos!$A$23:$A$300,0)),0)))</f>
        <v/>
      </c>
      <c r="G496" s="42"/>
      <c r="H496" s="42"/>
    </row>
    <row r="497" customFormat="false" ht="15.75" hidden="false" customHeight="true" outlineLevel="0" collapsed="false">
      <c r="A497" s="41"/>
      <c r="B497" s="42"/>
      <c r="C497" s="42"/>
      <c r="D497" s="43"/>
      <c r="E497" s="44"/>
      <c r="F497" s="45" t="str">
        <f aca="false">IF($B497="","",N($D497)*IF(N($E497)&gt;0,$E497,IFERROR(INDEX(Costos!$K$23:$K$300,MATCH($B497,Costos!$A$23:$A$300,0)),0)))</f>
        <v/>
      </c>
      <c r="G497" s="42"/>
      <c r="H497" s="42"/>
    </row>
    <row r="498" customFormat="false" ht="15.75" hidden="false" customHeight="true" outlineLevel="0" collapsed="false">
      <c r="A498" s="41"/>
      <c r="B498" s="42"/>
      <c r="C498" s="42"/>
      <c r="D498" s="43"/>
      <c r="E498" s="44"/>
      <c r="F498" s="45" t="str">
        <f aca="false">IF($B498="","",N($D498)*IF(N($E498)&gt;0,$E498,IFERROR(INDEX(Costos!$K$23:$K$300,MATCH($B498,Costos!$A$23:$A$300,0)),0)))</f>
        <v/>
      </c>
      <c r="G498" s="42"/>
      <c r="H498" s="42"/>
    </row>
    <row r="499" customFormat="false" ht="15.75" hidden="false" customHeight="true" outlineLevel="0" collapsed="false">
      <c r="A499" s="41"/>
      <c r="B499" s="42"/>
      <c r="C499" s="42"/>
      <c r="D499" s="43"/>
      <c r="E499" s="44"/>
      <c r="F499" s="45" t="str">
        <f aca="false">IF($B499="","",N($D499)*IF(N($E499)&gt;0,$E499,IFERROR(INDEX(Costos!$K$23:$K$300,MATCH($B499,Costos!$A$23:$A$300,0)),0)))</f>
        <v/>
      </c>
      <c r="G499" s="42"/>
      <c r="H499" s="42"/>
    </row>
    <row r="500" customFormat="false" ht="15.75" hidden="false" customHeight="true" outlineLevel="0" collapsed="false">
      <c r="A500" s="41"/>
      <c r="B500" s="42"/>
      <c r="C500" s="42"/>
      <c r="D500" s="43"/>
      <c r="E500" s="44"/>
      <c r="F500" s="45" t="str">
        <f aca="false">IF($B500="","",N($D500)*IF(N($E500)&gt;0,$E500,IFERROR(INDEX(Costos!$K$23:$K$300,MATCH($B500,Costos!$A$23:$A$300,0)),0)))</f>
        <v/>
      </c>
      <c r="G500" s="42"/>
      <c r="H500" s="42"/>
    </row>
    <row r="501" customFormat="false" ht="15.75" hidden="false" customHeight="true" outlineLevel="0" collapsed="false">
      <c r="A501" s="41"/>
      <c r="B501" s="42"/>
      <c r="C501" s="42"/>
      <c r="D501" s="43"/>
      <c r="E501" s="44"/>
      <c r="F501" s="45" t="str">
        <f aca="false">IF($B501="","",N($D501)*IF(N($E501)&gt;0,$E501,IFERROR(INDEX(Costos!$K$23:$K$300,MATCH($B501,Costos!$A$23:$A$300,0)),0)))</f>
        <v/>
      </c>
      <c r="G501" s="42"/>
      <c r="H501" s="42"/>
    </row>
    <row r="502" customFormat="false" ht="15.75" hidden="false" customHeight="true" outlineLevel="0" collapsed="false">
      <c r="A502" s="41"/>
      <c r="B502" s="42"/>
      <c r="C502" s="42"/>
      <c r="D502" s="43"/>
      <c r="E502" s="44"/>
      <c r="F502" s="45" t="str">
        <f aca="false">IF($B502="","",N($D502)*IF(N($E502)&gt;0,$E502,IFERROR(INDEX(Costos!$K$23:$K$300,MATCH($B502,Costos!$A$23:$A$300,0)),0)))</f>
        <v/>
      </c>
      <c r="G502" s="42"/>
      <c r="H502" s="42"/>
    </row>
    <row r="503" customFormat="false" ht="15.75" hidden="false" customHeight="true" outlineLevel="0" collapsed="false">
      <c r="A503" s="41"/>
      <c r="B503" s="42"/>
      <c r="C503" s="42"/>
      <c r="D503" s="43"/>
      <c r="E503" s="44"/>
      <c r="F503" s="45" t="str">
        <f aca="false">IF($B503="","",N($D503)*IF(N($E503)&gt;0,$E503,IFERROR(INDEX(Costos!$K$23:$K$300,MATCH($B503,Costos!$A$23:$A$300,0)),0)))</f>
        <v/>
      </c>
      <c r="G503" s="42"/>
      <c r="H503" s="42"/>
    </row>
    <row r="504" customFormat="false" ht="15.75" hidden="false" customHeight="true" outlineLevel="0" collapsed="false">
      <c r="A504" s="41"/>
      <c r="B504" s="42"/>
      <c r="C504" s="42"/>
      <c r="D504" s="43"/>
      <c r="E504" s="44"/>
      <c r="F504" s="45" t="str">
        <f aca="false">IF($B504="","",N($D504)*IF(N($E504)&gt;0,$E504,IFERROR(INDEX(Costos!$K$23:$K$300,MATCH($B504,Costos!$A$23:$A$300,0)),0)))</f>
        <v/>
      </c>
      <c r="G504" s="42"/>
      <c r="H504" s="42"/>
    </row>
    <row r="505" customFormat="false" ht="15.75" hidden="false" customHeight="true" outlineLevel="0" collapsed="false">
      <c r="A505" s="41"/>
      <c r="B505" s="42"/>
      <c r="C505" s="42"/>
      <c r="D505" s="43"/>
      <c r="E505" s="44"/>
      <c r="F505" s="45" t="str">
        <f aca="false">IF($B505="","",N($D505)*IF(N($E505)&gt;0,$E505,IFERROR(INDEX(Costos!$K$23:$K$300,MATCH($B505,Costos!$A$23:$A$300,0)),0)))</f>
        <v/>
      </c>
      <c r="G505" s="42"/>
      <c r="H505" s="42"/>
    </row>
    <row r="506" customFormat="false" ht="15.75" hidden="false" customHeight="true" outlineLevel="0" collapsed="false">
      <c r="A506" s="41"/>
      <c r="B506" s="42"/>
      <c r="C506" s="42"/>
      <c r="D506" s="43"/>
      <c r="E506" s="44"/>
      <c r="F506" s="45" t="str">
        <f aca="false">IF($B506="","",N($D506)*IF(N($E506)&gt;0,$E506,IFERROR(INDEX(Costos!$K$23:$K$300,MATCH($B506,Costos!$A$23:$A$300,0)),0)))</f>
        <v/>
      </c>
      <c r="G506" s="42"/>
      <c r="H506" s="42"/>
    </row>
    <row r="507" customFormat="false" ht="15.75" hidden="false" customHeight="true" outlineLevel="0" collapsed="false">
      <c r="A507" s="41"/>
      <c r="B507" s="42"/>
      <c r="C507" s="42"/>
      <c r="D507" s="43"/>
      <c r="E507" s="44"/>
      <c r="F507" s="45" t="str">
        <f aca="false">IF($B507="","",N($D507)*IF(N($E507)&gt;0,$E507,IFERROR(INDEX(Costos!$K$23:$K$300,MATCH($B507,Costos!$A$23:$A$300,0)),0)))</f>
        <v/>
      </c>
      <c r="G507" s="42"/>
      <c r="H507" s="42"/>
    </row>
    <row r="508" customFormat="false" ht="15.75" hidden="false" customHeight="true" outlineLevel="0" collapsed="false">
      <c r="A508" s="41"/>
      <c r="B508" s="42"/>
      <c r="C508" s="42"/>
      <c r="D508" s="43"/>
      <c r="E508" s="44"/>
      <c r="F508" s="45" t="str">
        <f aca="false">IF($B508="","",N($D508)*IF(N($E508)&gt;0,$E508,IFERROR(INDEX(Costos!$K$23:$K$300,MATCH($B508,Costos!$A$23:$A$300,0)),0)))</f>
        <v/>
      </c>
      <c r="G508" s="42"/>
      <c r="H508" s="42"/>
    </row>
    <row r="509" customFormat="false" ht="15.75" hidden="false" customHeight="true" outlineLevel="0" collapsed="false">
      <c r="A509" s="41"/>
      <c r="B509" s="42"/>
      <c r="C509" s="42"/>
      <c r="D509" s="43"/>
      <c r="E509" s="44"/>
      <c r="F509" s="45" t="str">
        <f aca="false">IF($B509="","",N($D509)*IF(N($E509)&gt;0,$E509,IFERROR(INDEX(Costos!$K$23:$K$300,MATCH($B509,Costos!$A$23:$A$300,0)),0)))</f>
        <v/>
      </c>
      <c r="G509" s="42"/>
      <c r="H509" s="42"/>
    </row>
    <row r="510" customFormat="false" ht="15.75" hidden="false" customHeight="true" outlineLevel="0" collapsed="false">
      <c r="A510" s="41"/>
      <c r="B510" s="42"/>
      <c r="C510" s="42"/>
      <c r="D510" s="43"/>
      <c r="E510" s="44"/>
      <c r="F510" s="45" t="str">
        <f aca="false">IF($B510="","",N($D510)*IF(N($E510)&gt;0,$E510,IFERROR(INDEX(Costos!$K$23:$K$300,MATCH($B510,Costos!$A$23:$A$300,0)),0)))</f>
        <v/>
      </c>
      <c r="G510" s="42"/>
      <c r="H510" s="42"/>
    </row>
    <row r="511" customFormat="false" ht="15.75" hidden="false" customHeight="true" outlineLevel="0" collapsed="false">
      <c r="A511" s="41"/>
      <c r="B511" s="42"/>
      <c r="C511" s="42"/>
      <c r="D511" s="43"/>
      <c r="E511" s="44"/>
      <c r="F511" s="45" t="str">
        <f aca="false">IF($B511="","",N($D511)*IF(N($E511)&gt;0,$E511,IFERROR(INDEX(Costos!$K$23:$K$300,MATCH($B511,Costos!$A$23:$A$300,0)),0)))</f>
        <v/>
      </c>
      <c r="G511" s="42"/>
      <c r="H511" s="42"/>
    </row>
    <row r="512" customFormat="false" ht="15.75" hidden="false" customHeight="true" outlineLevel="0" collapsed="false">
      <c r="A512" s="41"/>
      <c r="B512" s="42"/>
      <c r="C512" s="42"/>
      <c r="D512" s="43"/>
      <c r="E512" s="44"/>
      <c r="F512" s="45" t="str">
        <f aca="false">IF($B512="","",N($D512)*IF(N($E512)&gt;0,$E512,IFERROR(INDEX(Costos!$K$23:$K$300,MATCH($B512,Costos!$A$23:$A$300,0)),0)))</f>
        <v/>
      </c>
      <c r="G512" s="42"/>
      <c r="H512" s="42"/>
    </row>
    <row r="513" customFormat="false" ht="15.75" hidden="false" customHeight="true" outlineLevel="0" collapsed="false">
      <c r="A513" s="41"/>
      <c r="B513" s="42"/>
      <c r="C513" s="42"/>
      <c r="D513" s="43"/>
      <c r="E513" s="44"/>
      <c r="F513" s="45" t="str">
        <f aca="false">IF($B513="","",N($D513)*IF(N($E513)&gt;0,$E513,IFERROR(INDEX(Costos!$K$23:$K$300,MATCH($B513,Costos!$A$23:$A$300,0)),0)))</f>
        <v/>
      </c>
      <c r="G513" s="42"/>
      <c r="H513" s="42"/>
    </row>
    <row r="514" customFormat="false" ht="15.75" hidden="false" customHeight="true" outlineLevel="0" collapsed="false">
      <c r="A514" s="41"/>
      <c r="B514" s="42"/>
      <c r="C514" s="42"/>
      <c r="D514" s="43"/>
      <c r="E514" s="44"/>
      <c r="F514" s="45" t="str">
        <f aca="false">IF($B514="","",N($D514)*IF(N($E514)&gt;0,$E514,IFERROR(INDEX(Costos!$K$23:$K$300,MATCH($B514,Costos!$A$23:$A$300,0)),0)))</f>
        <v/>
      </c>
      <c r="G514" s="42"/>
      <c r="H514" s="42"/>
    </row>
    <row r="515" customFormat="false" ht="15.75" hidden="false" customHeight="true" outlineLevel="0" collapsed="false">
      <c r="A515" s="41"/>
      <c r="B515" s="42"/>
      <c r="C515" s="42"/>
      <c r="D515" s="43"/>
      <c r="E515" s="44"/>
      <c r="F515" s="45" t="str">
        <f aca="false">IF($B515="","",N($D515)*IF(N($E515)&gt;0,$E515,IFERROR(INDEX(Costos!$K$23:$K$300,MATCH($B515,Costos!$A$23:$A$300,0)),0)))</f>
        <v/>
      </c>
      <c r="G515" s="42"/>
      <c r="H515" s="42"/>
    </row>
    <row r="516" customFormat="false" ht="15.75" hidden="false" customHeight="true" outlineLevel="0" collapsed="false">
      <c r="A516" s="41"/>
      <c r="B516" s="42"/>
      <c r="C516" s="42"/>
      <c r="D516" s="43"/>
      <c r="E516" s="44"/>
      <c r="F516" s="45" t="str">
        <f aca="false">IF($B516="","",N($D516)*IF(N($E516)&gt;0,$E516,IFERROR(INDEX(Costos!$K$23:$K$300,MATCH($B516,Costos!$A$23:$A$300,0)),0)))</f>
        <v/>
      </c>
      <c r="G516" s="42"/>
      <c r="H516" s="42"/>
    </row>
    <row r="517" customFormat="false" ht="15.75" hidden="false" customHeight="true" outlineLevel="0" collapsed="false">
      <c r="A517" s="41"/>
      <c r="B517" s="42"/>
      <c r="C517" s="42"/>
      <c r="D517" s="43"/>
      <c r="E517" s="44"/>
      <c r="F517" s="45" t="str">
        <f aca="false">IF($B517="","",N($D517)*IF(N($E517)&gt;0,$E517,IFERROR(INDEX(Costos!$K$23:$K$300,MATCH($B517,Costos!$A$23:$A$300,0)),0)))</f>
        <v/>
      </c>
      <c r="G517" s="42"/>
      <c r="H517" s="42"/>
    </row>
    <row r="518" customFormat="false" ht="15.75" hidden="false" customHeight="true" outlineLevel="0" collapsed="false">
      <c r="A518" s="41"/>
      <c r="B518" s="42"/>
      <c r="C518" s="42"/>
      <c r="D518" s="43"/>
      <c r="E518" s="44"/>
      <c r="F518" s="45" t="str">
        <f aca="false">IF($B518="","",N($D518)*IF(N($E518)&gt;0,$E518,IFERROR(INDEX(Costos!$K$23:$K$300,MATCH($B518,Costos!$A$23:$A$300,0)),0)))</f>
        <v/>
      </c>
      <c r="G518" s="42"/>
      <c r="H518" s="42"/>
    </row>
    <row r="519" customFormat="false" ht="15.75" hidden="false" customHeight="true" outlineLevel="0" collapsed="false">
      <c r="A519" s="41"/>
      <c r="B519" s="42"/>
      <c r="C519" s="42"/>
      <c r="D519" s="43"/>
      <c r="E519" s="44"/>
      <c r="F519" s="45" t="str">
        <f aca="false">IF($B519="","",N($D519)*IF(N($E519)&gt;0,$E519,IFERROR(INDEX(Costos!$K$23:$K$300,MATCH($B519,Costos!$A$23:$A$300,0)),0)))</f>
        <v/>
      </c>
      <c r="G519" s="42"/>
      <c r="H519" s="42"/>
    </row>
    <row r="520" customFormat="false" ht="15.75" hidden="false" customHeight="true" outlineLevel="0" collapsed="false">
      <c r="A520" s="41"/>
      <c r="B520" s="42"/>
      <c r="C520" s="42"/>
      <c r="D520" s="43"/>
      <c r="E520" s="44"/>
      <c r="F520" s="45" t="str">
        <f aca="false">IF($B520="","",N($D520)*IF(N($E520)&gt;0,$E520,IFERROR(INDEX(Costos!$K$23:$K$300,MATCH($B520,Costos!$A$23:$A$300,0)),0)))</f>
        <v/>
      </c>
      <c r="G520" s="42"/>
      <c r="H520" s="42"/>
    </row>
    <row r="521" customFormat="false" ht="15.75" hidden="false" customHeight="true" outlineLevel="0" collapsed="false">
      <c r="A521" s="41"/>
      <c r="B521" s="42"/>
      <c r="C521" s="42"/>
      <c r="D521" s="43"/>
      <c r="E521" s="44"/>
      <c r="F521" s="45" t="str">
        <f aca="false">IF($B521="","",N($D521)*IF(N($E521)&gt;0,$E521,IFERROR(INDEX(Costos!$K$23:$K$300,MATCH($B521,Costos!$A$23:$A$300,0)),0)))</f>
        <v/>
      </c>
      <c r="G521" s="42"/>
      <c r="H521" s="42"/>
    </row>
    <row r="522" customFormat="false" ht="15.75" hidden="false" customHeight="true" outlineLevel="0" collapsed="false">
      <c r="A522" s="41"/>
      <c r="B522" s="42"/>
      <c r="C522" s="42"/>
      <c r="D522" s="43"/>
      <c r="E522" s="44"/>
      <c r="F522" s="45" t="str">
        <f aca="false">IF($B522="","",N($D522)*IF(N($E522)&gt;0,$E522,IFERROR(INDEX(Costos!$K$23:$K$300,MATCH($B522,Costos!$A$23:$A$300,0)),0)))</f>
        <v/>
      </c>
      <c r="G522" s="42"/>
      <c r="H522" s="42"/>
    </row>
    <row r="523" customFormat="false" ht="15.75" hidden="false" customHeight="true" outlineLevel="0" collapsed="false">
      <c r="A523" s="41"/>
      <c r="B523" s="42"/>
      <c r="C523" s="42"/>
      <c r="D523" s="43"/>
      <c r="E523" s="44"/>
      <c r="F523" s="45" t="str">
        <f aca="false">IF($B523="","",N($D523)*IF(N($E523)&gt;0,$E523,IFERROR(INDEX(Costos!$K$23:$K$300,MATCH($B523,Costos!$A$23:$A$300,0)),0)))</f>
        <v/>
      </c>
      <c r="G523" s="42"/>
      <c r="H523" s="42"/>
    </row>
    <row r="524" customFormat="false" ht="15.75" hidden="false" customHeight="true" outlineLevel="0" collapsed="false">
      <c r="A524" s="41"/>
      <c r="B524" s="42"/>
      <c r="C524" s="42"/>
      <c r="D524" s="43"/>
      <c r="E524" s="44"/>
      <c r="F524" s="45" t="str">
        <f aca="false">IF($B524="","",N($D524)*IF(N($E524)&gt;0,$E524,IFERROR(INDEX(Costos!$K$23:$K$300,MATCH($B524,Costos!$A$23:$A$300,0)),0)))</f>
        <v/>
      </c>
      <c r="G524" s="42"/>
      <c r="H524" s="42"/>
    </row>
    <row r="525" customFormat="false" ht="15.75" hidden="false" customHeight="true" outlineLevel="0" collapsed="false">
      <c r="A525" s="41"/>
      <c r="B525" s="42"/>
      <c r="C525" s="42"/>
      <c r="D525" s="43"/>
      <c r="E525" s="44"/>
      <c r="F525" s="45" t="str">
        <f aca="false">IF($B525="","",N($D525)*IF(N($E525)&gt;0,$E525,IFERROR(INDEX(Costos!$K$23:$K$300,MATCH($B525,Costos!$A$23:$A$300,0)),0)))</f>
        <v/>
      </c>
      <c r="G525" s="42"/>
      <c r="H525" s="42"/>
    </row>
    <row r="526" customFormat="false" ht="15.75" hidden="false" customHeight="true" outlineLevel="0" collapsed="false">
      <c r="A526" s="41"/>
      <c r="B526" s="42"/>
      <c r="C526" s="42"/>
      <c r="D526" s="43"/>
      <c r="E526" s="44"/>
      <c r="F526" s="45" t="str">
        <f aca="false">IF($B526="","",N($D526)*IF(N($E526)&gt;0,$E526,IFERROR(INDEX(Costos!$K$23:$K$300,MATCH($B526,Costos!$A$23:$A$300,0)),0)))</f>
        <v/>
      </c>
      <c r="G526" s="42"/>
      <c r="H526" s="42"/>
    </row>
    <row r="527" customFormat="false" ht="15.75" hidden="false" customHeight="true" outlineLevel="0" collapsed="false">
      <c r="A527" s="41"/>
      <c r="B527" s="42"/>
      <c r="C527" s="42"/>
      <c r="D527" s="43"/>
      <c r="E527" s="44"/>
      <c r="F527" s="45" t="str">
        <f aca="false">IF($B527="","",N($D527)*IF(N($E527)&gt;0,$E527,IFERROR(INDEX(Costos!$K$23:$K$300,MATCH($B527,Costos!$A$23:$A$300,0)),0)))</f>
        <v/>
      </c>
      <c r="G527" s="42"/>
      <c r="H527" s="42"/>
    </row>
    <row r="528" customFormat="false" ht="15.75" hidden="false" customHeight="true" outlineLevel="0" collapsed="false">
      <c r="A528" s="41"/>
      <c r="B528" s="42"/>
      <c r="C528" s="42"/>
      <c r="D528" s="43"/>
      <c r="E528" s="44"/>
      <c r="F528" s="45" t="str">
        <f aca="false">IF($B528="","",N($D528)*IF(N($E528)&gt;0,$E528,IFERROR(INDEX(Costos!$K$23:$K$300,MATCH($B528,Costos!$A$23:$A$300,0)),0)))</f>
        <v/>
      </c>
      <c r="G528" s="42"/>
      <c r="H528" s="42"/>
    </row>
    <row r="529" customFormat="false" ht="15.75" hidden="false" customHeight="true" outlineLevel="0" collapsed="false">
      <c r="A529" s="41"/>
      <c r="B529" s="42"/>
      <c r="C529" s="42"/>
      <c r="D529" s="43"/>
      <c r="E529" s="44"/>
      <c r="F529" s="45" t="str">
        <f aca="false">IF($B529="","",N($D529)*IF(N($E529)&gt;0,$E529,IFERROR(INDEX(Costos!$K$23:$K$300,MATCH($B529,Costos!$A$23:$A$300,0)),0)))</f>
        <v/>
      </c>
      <c r="G529" s="42"/>
      <c r="H529" s="42"/>
    </row>
    <row r="530" customFormat="false" ht="15.75" hidden="false" customHeight="true" outlineLevel="0" collapsed="false">
      <c r="A530" s="41"/>
      <c r="B530" s="42"/>
      <c r="C530" s="42"/>
      <c r="D530" s="43"/>
      <c r="E530" s="44"/>
      <c r="F530" s="45" t="str">
        <f aca="false">IF($B530="","",N($D530)*IF(N($E530)&gt;0,$E530,IFERROR(INDEX(Costos!$K$23:$K$300,MATCH($B530,Costos!$A$23:$A$300,0)),0)))</f>
        <v/>
      </c>
      <c r="G530" s="42"/>
      <c r="H530" s="42"/>
    </row>
    <row r="531" customFormat="false" ht="15.75" hidden="false" customHeight="true" outlineLevel="0" collapsed="false">
      <c r="A531" s="41"/>
      <c r="B531" s="42"/>
      <c r="C531" s="42"/>
      <c r="D531" s="43"/>
      <c r="E531" s="44"/>
      <c r="F531" s="45" t="str">
        <f aca="false">IF($B531="","",N($D531)*IF(N($E531)&gt;0,$E531,IFERROR(INDEX(Costos!$K$23:$K$300,MATCH($B531,Costos!$A$23:$A$300,0)),0)))</f>
        <v/>
      </c>
      <c r="G531" s="42"/>
      <c r="H531" s="42"/>
    </row>
    <row r="532" customFormat="false" ht="15.75" hidden="false" customHeight="true" outlineLevel="0" collapsed="false">
      <c r="A532" s="41"/>
      <c r="B532" s="42"/>
      <c r="C532" s="42"/>
      <c r="D532" s="43"/>
      <c r="E532" s="44"/>
      <c r="F532" s="45" t="str">
        <f aca="false">IF($B532="","",N($D532)*IF(N($E532)&gt;0,$E532,IFERROR(INDEX(Costos!$K$23:$K$300,MATCH($B532,Costos!$A$23:$A$300,0)),0)))</f>
        <v/>
      </c>
      <c r="G532" s="42"/>
      <c r="H532" s="42"/>
    </row>
    <row r="533" customFormat="false" ht="15.75" hidden="false" customHeight="true" outlineLevel="0" collapsed="false">
      <c r="A533" s="41"/>
      <c r="B533" s="42"/>
      <c r="C533" s="42"/>
      <c r="D533" s="43"/>
      <c r="E533" s="44"/>
      <c r="F533" s="45" t="str">
        <f aca="false">IF($B533="","",N($D533)*IF(N($E533)&gt;0,$E533,IFERROR(INDEX(Costos!$K$23:$K$300,MATCH($B533,Costos!$A$23:$A$300,0)),0)))</f>
        <v/>
      </c>
      <c r="G533" s="42"/>
      <c r="H533" s="42"/>
    </row>
    <row r="534" customFormat="false" ht="15.75" hidden="false" customHeight="true" outlineLevel="0" collapsed="false">
      <c r="A534" s="41"/>
      <c r="B534" s="42"/>
      <c r="C534" s="42"/>
      <c r="D534" s="43"/>
      <c r="E534" s="44"/>
      <c r="F534" s="45" t="str">
        <f aca="false">IF($B534="","",N($D534)*IF(N($E534)&gt;0,$E534,IFERROR(INDEX(Costos!$K$23:$K$300,MATCH($B534,Costos!$A$23:$A$300,0)),0)))</f>
        <v/>
      </c>
      <c r="G534" s="42"/>
      <c r="H534" s="42"/>
    </row>
    <row r="535" customFormat="false" ht="15.75" hidden="false" customHeight="true" outlineLevel="0" collapsed="false">
      <c r="A535" s="41"/>
      <c r="B535" s="42"/>
      <c r="C535" s="42"/>
      <c r="D535" s="43"/>
      <c r="E535" s="44"/>
      <c r="F535" s="45" t="str">
        <f aca="false">IF($B535="","",N($D535)*IF(N($E535)&gt;0,$E535,IFERROR(INDEX(Costos!$K$23:$K$300,MATCH($B535,Costos!$A$23:$A$300,0)),0)))</f>
        <v/>
      </c>
      <c r="G535" s="42"/>
      <c r="H535" s="42"/>
    </row>
    <row r="536" customFormat="false" ht="15.75" hidden="false" customHeight="true" outlineLevel="0" collapsed="false">
      <c r="A536" s="41"/>
      <c r="B536" s="42"/>
      <c r="C536" s="42"/>
      <c r="D536" s="43"/>
      <c r="E536" s="44"/>
      <c r="F536" s="45" t="str">
        <f aca="false">IF($B536="","",N($D536)*IF(N($E536)&gt;0,$E536,IFERROR(INDEX(Costos!$K$23:$K$300,MATCH($B536,Costos!$A$23:$A$300,0)),0)))</f>
        <v/>
      </c>
      <c r="G536" s="42"/>
      <c r="H536" s="42"/>
    </row>
    <row r="537" customFormat="false" ht="15.75" hidden="false" customHeight="true" outlineLevel="0" collapsed="false">
      <c r="A537" s="41"/>
      <c r="B537" s="42"/>
      <c r="C537" s="42"/>
      <c r="D537" s="43"/>
      <c r="E537" s="44"/>
      <c r="F537" s="45" t="str">
        <f aca="false">IF($B537="","",N($D537)*IF(N($E537)&gt;0,$E537,IFERROR(INDEX(Costos!$K$23:$K$300,MATCH($B537,Costos!$A$23:$A$300,0)),0)))</f>
        <v/>
      </c>
      <c r="G537" s="42"/>
      <c r="H537" s="42"/>
    </row>
    <row r="538" customFormat="false" ht="15.75" hidden="false" customHeight="true" outlineLevel="0" collapsed="false">
      <c r="A538" s="41"/>
      <c r="B538" s="42"/>
      <c r="C538" s="42"/>
      <c r="D538" s="43"/>
      <c r="E538" s="44"/>
      <c r="F538" s="45" t="str">
        <f aca="false">IF($B538="","",N($D538)*IF(N($E538)&gt;0,$E538,IFERROR(INDEX(Costos!$K$23:$K$300,MATCH($B538,Costos!$A$23:$A$300,0)),0)))</f>
        <v/>
      </c>
      <c r="G538" s="42"/>
      <c r="H538" s="42"/>
    </row>
    <row r="539" customFormat="false" ht="15.75" hidden="false" customHeight="true" outlineLevel="0" collapsed="false">
      <c r="A539" s="41"/>
      <c r="B539" s="42"/>
      <c r="C539" s="42"/>
      <c r="D539" s="43"/>
      <c r="E539" s="44"/>
      <c r="F539" s="45" t="str">
        <f aca="false">IF($B539="","",N($D539)*IF(N($E539)&gt;0,$E539,IFERROR(INDEX(Costos!$K$23:$K$300,MATCH($B539,Costos!$A$23:$A$300,0)),0)))</f>
        <v/>
      </c>
      <c r="G539" s="42"/>
      <c r="H539" s="42"/>
    </row>
    <row r="540" customFormat="false" ht="15.75" hidden="false" customHeight="true" outlineLevel="0" collapsed="false">
      <c r="A540" s="41"/>
      <c r="B540" s="42"/>
      <c r="C540" s="42"/>
      <c r="D540" s="43"/>
      <c r="E540" s="44"/>
      <c r="F540" s="45" t="str">
        <f aca="false">IF($B540="","",N($D540)*IF(N($E540)&gt;0,$E540,IFERROR(INDEX(Costos!$K$23:$K$300,MATCH($B540,Costos!$A$23:$A$300,0)),0)))</f>
        <v/>
      </c>
      <c r="G540" s="42"/>
      <c r="H540" s="42"/>
    </row>
    <row r="541" customFormat="false" ht="15.75" hidden="false" customHeight="true" outlineLevel="0" collapsed="false">
      <c r="A541" s="41"/>
      <c r="B541" s="42"/>
      <c r="C541" s="42"/>
      <c r="D541" s="43"/>
      <c r="E541" s="44"/>
      <c r="F541" s="45" t="str">
        <f aca="false">IF($B541="","",N($D541)*IF(N($E541)&gt;0,$E541,IFERROR(INDEX(Costos!$K$23:$K$300,MATCH($B541,Costos!$A$23:$A$300,0)),0)))</f>
        <v/>
      </c>
      <c r="G541" s="42"/>
      <c r="H541" s="42"/>
    </row>
    <row r="542" customFormat="false" ht="15.75" hidden="false" customHeight="true" outlineLevel="0" collapsed="false">
      <c r="A542" s="41"/>
      <c r="B542" s="42"/>
      <c r="C542" s="42"/>
      <c r="D542" s="43"/>
      <c r="E542" s="44"/>
      <c r="F542" s="45" t="str">
        <f aca="false">IF($B542="","",N($D542)*IF(N($E542)&gt;0,$E542,IFERROR(INDEX(Costos!$K$23:$K$300,MATCH($B542,Costos!$A$23:$A$300,0)),0)))</f>
        <v/>
      </c>
      <c r="G542" s="42"/>
      <c r="H542" s="42"/>
    </row>
    <row r="543" customFormat="false" ht="15.75" hidden="false" customHeight="true" outlineLevel="0" collapsed="false">
      <c r="A543" s="41"/>
      <c r="B543" s="42"/>
      <c r="C543" s="42"/>
      <c r="D543" s="43"/>
      <c r="E543" s="44"/>
      <c r="F543" s="45" t="str">
        <f aca="false">IF($B543="","",N($D543)*IF(N($E543)&gt;0,$E543,IFERROR(INDEX(Costos!$K$23:$K$300,MATCH($B543,Costos!$A$23:$A$300,0)),0)))</f>
        <v/>
      </c>
      <c r="G543" s="42"/>
      <c r="H543" s="42"/>
    </row>
    <row r="544" customFormat="false" ht="15.75" hidden="false" customHeight="true" outlineLevel="0" collapsed="false">
      <c r="A544" s="41"/>
      <c r="B544" s="42"/>
      <c r="C544" s="42"/>
      <c r="D544" s="43"/>
      <c r="E544" s="44"/>
      <c r="F544" s="45" t="str">
        <f aca="false">IF($B544="","",N($D544)*IF(N($E544)&gt;0,$E544,IFERROR(INDEX(Costos!$K$23:$K$300,MATCH($B544,Costos!$A$23:$A$300,0)),0)))</f>
        <v/>
      </c>
      <c r="G544" s="42"/>
      <c r="H544" s="42"/>
    </row>
    <row r="545" customFormat="false" ht="15.75" hidden="false" customHeight="true" outlineLevel="0" collapsed="false">
      <c r="A545" s="41"/>
      <c r="B545" s="42"/>
      <c r="C545" s="42"/>
      <c r="D545" s="43"/>
      <c r="E545" s="44"/>
      <c r="F545" s="45" t="str">
        <f aca="false">IF($B545="","",N($D545)*IF(N($E545)&gt;0,$E545,IFERROR(INDEX(Costos!$K$23:$K$300,MATCH($B545,Costos!$A$23:$A$300,0)),0)))</f>
        <v/>
      </c>
      <c r="G545" s="42"/>
      <c r="H545" s="42"/>
    </row>
    <row r="546" customFormat="false" ht="15.75" hidden="false" customHeight="true" outlineLevel="0" collapsed="false">
      <c r="A546" s="41"/>
      <c r="B546" s="42"/>
      <c r="C546" s="42"/>
      <c r="D546" s="43"/>
      <c r="E546" s="44"/>
      <c r="F546" s="45" t="str">
        <f aca="false">IF($B546="","",N($D546)*IF(N($E546)&gt;0,$E546,IFERROR(INDEX(Costos!$K$23:$K$300,MATCH($B546,Costos!$A$23:$A$300,0)),0)))</f>
        <v/>
      </c>
      <c r="G546" s="42"/>
      <c r="H546" s="42"/>
    </row>
    <row r="547" customFormat="false" ht="15.75" hidden="false" customHeight="true" outlineLevel="0" collapsed="false">
      <c r="A547" s="41"/>
      <c r="B547" s="42"/>
      <c r="C547" s="42"/>
      <c r="D547" s="43"/>
      <c r="E547" s="44"/>
      <c r="F547" s="45" t="str">
        <f aca="false">IF($B547="","",N($D547)*IF(N($E547)&gt;0,$E547,IFERROR(INDEX(Costos!$K$23:$K$300,MATCH($B547,Costos!$A$23:$A$300,0)),0)))</f>
        <v/>
      </c>
      <c r="G547" s="42"/>
      <c r="H547" s="42"/>
    </row>
    <row r="548" customFormat="false" ht="15.75" hidden="false" customHeight="true" outlineLevel="0" collapsed="false">
      <c r="A548" s="41"/>
      <c r="B548" s="42"/>
      <c r="C548" s="42"/>
      <c r="D548" s="43"/>
      <c r="E548" s="44"/>
      <c r="F548" s="45" t="str">
        <f aca="false">IF($B548="","",N($D548)*IF(N($E548)&gt;0,$E548,IFERROR(INDEX(Costos!$K$23:$K$300,MATCH($B548,Costos!$A$23:$A$300,0)),0)))</f>
        <v/>
      </c>
      <c r="G548" s="42"/>
      <c r="H548" s="42"/>
    </row>
    <row r="549" customFormat="false" ht="15.75" hidden="false" customHeight="true" outlineLevel="0" collapsed="false">
      <c r="A549" s="41"/>
      <c r="B549" s="42"/>
      <c r="C549" s="42"/>
      <c r="D549" s="43"/>
      <c r="E549" s="44"/>
      <c r="F549" s="45" t="str">
        <f aca="false">IF($B549="","",N($D549)*IF(N($E549)&gt;0,$E549,IFERROR(INDEX(Costos!$K$23:$K$300,MATCH($B549,Costos!$A$23:$A$300,0)),0)))</f>
        <v/>
      </c>
      <c r="G549" s="42"/>
      <c r="H549" s="42"/>
    </row>
    <row r="550" customFormat="false" ht="15.75" hidden="false" customHeight="true" outlineLevel="0" collapsed="false">
      <c r="A550" s="41"/>
      <c r="B550" s="42"/>
      <c r="C550" s="42"/>
      <c r="D550" s="43"/>
      <c r="E550" s="44"/>
      <c r="F550" s="45" t="str">
        <f aca="false">IF($B550="","",N($D550)*IF(N($E550)&gt;0,$E550,IFERROR(INDEX(Costos!$K$23:$K$300,MATCH($B550,Costos!$A$23:$A$300,0)),0)))</f>
        <v/>
      </c>
      <c r="G550" s="42"/>
      <c r="H550" s="42"/>
    </row>
    <row r="551" customFormat="false" ht="15.75" hidden="false" customHeight="true" outlineLevel="0" collapsed="false">
      <c r="A551" s="41"/>
      <c r="B551" s="42"/>
      <c r="C551" s="42"/>
      <c r="D551" s="43"/>
      <c r="E551" s="44"/>
      <c r="F551" s="45" t="str">
        <f aca="false">IF($B551="","",N($D551)*IF(N($E551)&gt;0,$E551,IFERROR(INDEX(Costos!$K$23:$K$300,MATCH($B551,Costos!$A$23:$A$300,0)),0)))</f>
        <v/>
      </c>
      <c r="G551" s="42"/>
      <c r="H551" s="42"/>
    </row>
    <row r="552" customFormat="false" ht="15.75" hidden="false" customHeight="true" outlineLevel="0" collapsed="false">
      <c r="A552" s="41"/>
      <c r="B552" s="42"/>
      <c r="C552" s="42"/>
      <c r="D552" s="43"/>
      <c r="E552" s="44"/>
      <c r="F552" s="45" t="str">
        <f aca="false">IF($B552="","",N($D552)*IF(N($E552)&gt;0,$E552,IFERROR(INDEX(Costos!$K$23:$K$300,MATCH($B552,Costos!$A$23:$A$300,0)),0)))</f>
        <v/>
      </c>
      <c r="G552" s="42"/>
      <c r="H552" s="42"/>
    </row>
    <row r="553" customFormat="false" ht="15.75" hidden="false" customHeight="true" outlineLevel="0" collapsed="false">
      <c r="A553" s="41"/>
      <c r="B553" s="42"/>
      <c r="C553" s="42"/>
      <c r="D553" s="43"/>
      <c r="E553" s="44"/>
      <c r="F553" s="45" t="str">
        <f aca="false">IF($B553="","",N($D553)*IF(N($E553)&gt;0,$E553,IFERROR(INDEX(Costos!$K$23:$K$300,MATCH($B553,Costos!$A$23:$A$300,0)),0)))</f>
        <v/>
      </c>
      <c r="G553" s="42"/>
      <c r="H553" s="42"/>
    </row>
    <row r="554" customFormat="false" ht="15.75" hidden="false" customHeight="true" outlineLevel="0" collapsed="false">
      <c r="A554" s="41"/>
      <c r="B554" s="42"/>
      <c r="C554" s="42"/>
      <c r="D554" s="43"/>
      <c r="E554" s="44"/>
      <c r="F554" s="45" t="str">
        <f aca="false">IF($B554="","",N($D554)*IF(N($E554)&gt;0,$E554,IFERROR(INDEX(Costos!$K$23:$K$300,MATCH($B554,Costos!$A$23:$A$300,0)),0)))</f>
        <v/>
      </c>
      <c r="G554" s="42"/>
      <c r="H554" s="42"/>
    </row>
    <row r="555" customFormat="false" ht="15.75" hidden="false" customHeight="true" outlineLevel="0" collapsed="false">
      <c r="A555" s="41"/>
      <c r="B555" s="42"/>
      <c r="C555" s="42"/>
      <c r="D555" s="43"/>
      <c r="E555" s="44"/>
      <c r="F555" s="45" t="str">
        <f aca="false">IF($B555="","",N($D555)*IF(N($E555)&gt;0,$E555,IFERROR(INDEX(Costos!$K$23:$K$300,MATCH($B555,Costos!$A$23:$A$300,0)),0)))</f>
        <v/>
      </c>
      <c r="G555" s="42"/>
      <c r="H555" s="42"/>
    </row>
    <row r="556" customFormat="false" ht="15.75" hidden="false" customHeight="true" outlineLevel="0" collapsed="false">
      <c r="A556" s="41"/>
      <c r="B556" s="42"/>
      <c r="C556" s="42"/>
      <c r="D556" s="43"/>
      <c r="E556" s="44"/>
      <c r="F556" s="45" t="str">
        <f aca="false">IF($B556="","",N($D556)*IF(N($E556)&gt;0,$E556,IFERROR(INDEX(Costos!$K$23:$K$300,MATCH($B556,Costos!$A$23:$A$300,0)),0)))</f>
        <v/>
      </c>
      <c r="G556" s="42"/>
      <c r="H556" s="42"/>
    </row>
    <row r="557" customFormat="false" ht="15.75" hidden="false" customHeight="true" outlineLevel="0" collapsed="false">
      <c r="A557" s="41"/>
      <c r="B557" s="42"/>
      <c r="C557" s="42"/>
      <c r="D557" s="43"/>
      <c r="E557" s="44"/>
      <c r="F557" s="45" t="str">
        <f aca="false">IF($B557="","",N($D557)*IF(N($E557)&gt;0,$E557,IFERROR(INDEX(Costos!$K$23:$K$300,MATCH($B557,Costos!$A$23:$A$300,0)),0)))</f>
        <v/>
      </c>
      <c r="G557" s="42"/>
      <c r="H557" s="42"/>
    </row>
    <row r="558" customFormat="false" ht="15.75" hidden="false" customHeight="true" outlineLevel="0" collapsed="false">
      <c r="A558" s="41"/>
      <c r="B558" s="42"/>
      <c r="C558" s="42"/>
      <c r="D558" s="43"/>
      <c r="E558" s="44"/>
      <c r="F558" s="45" t="str">
        <f aca="false">IF($B558="","",N($D558)*IF(N($E558)&gt;0,$E558,IFERROR(INDEX(Costos!$K$23:$K$300,MATCH($B558,Costos!$A$23:$A$300,0)),0)))</f>
        <v/>
      </c>
      <c r="G558" s="42"/>
      <c r="H558" s="42"/>
    </row>
    <row r="559" customFormat="false" ht="15.75" hidden="false" customHeight="true" outlineLevel="0" collapsed="false">
      <c r="A559" s="41"/>
      <c r="B559" s="42"/>
      <c r="C559" s="42"/>
      <c r="D559" s="43"/>
      <c r="E559" s="44"/>
      <c r="F559" s="45" t="str">
        <f aca="false">IF($B559="","",N($D559)*IF(N($E559)&gt;0,$E559,IFERROR(INDEX(Costos!$K$23:$K$300,MATCH($B559,Costos!$A$23:$A$300,0)),0)))</f>
        <v/>
      </c>
      <c r="G559" s="42"/>
      <c r="H559" s="42"/>
    </row>
    <row r="560" customFormat="false" ht="15.75" hidden="false" customHeight="true" outlineLevel="0" collapsed="false">
      <c r="A560" s="41"/>
      <c r="B560" s="42"/>
      <c r="C560" s="42"/>
      <c r="D560" s="43"/>
      <c r="E560" s="44"/>
      <c r="F560" s="45" t="str">
        <f aca="false">IF($B560="","",N($D560)*IF(N($E560)&gt;0,$E560,IFERROR(INDEX(Costos!$K$23:$K$300,MATCH($B560,Costos!$A$23:$A$300,0)),0)))</f>
        <v/>
      </c>
      <c r="G560" s="42"/>
      <c r="H560" s="42"/>
    </row>
    <row r="561" customFormat="false" ht="15.75" hidden="false" customHeight="true" outlineLevel="0" collapsed="false">
      <c r="A561" s="41"/>
      <c r="B561" s="42"/>
      <c r="C561" s="42"/>
      <c r="D561" s="43"/>
      <c r="E561" s="44"/>
      <c r="F561" s="45" t="str">
        <f aca="false">IF($B561="","",N($D561)*IF(N($E561)&gt;0,$E561,IFERROR(INDEX(Costos!$K$23:$K$300,MATCH($B561,Costos!$A$23:$A$300,0)),0)))</f>
        <v/>
      </c>
      <c r="G561" s="42"/>
      <c r="H561" s="42"/>
    </row>
    <row r="562" customFormat="false" ht="15.75" hidden="false" customHeight="true" outlineLevel="0" collapsed="false">
      <c r="A562" s="41"/>
      <c r="B562" s="42"/>
      <c r="C562" s="42"/>
      <c r="D562" s="43"/>
      <c r="E562" s="44"/>
      <c r="F562" s="45" t="str">
        <f aca="false">IF($B562="","",N($D562)*IF(N($E562)&gt;0,$E562,IFERROR(INDEX(Costos!$K$23:$K$300,MATCH($B562,Costos!$A$23:$A$300,0)),0)))</f>
        <v/>
      </c>
      <c r="G562" s="42"/>
      <c r="H562" s="42"/>
    </row>
    <row r="563" customFormat="false" ht="15.75" hidden="false" customHeight="true" outlineLevel="0" collapsed="false">
      <c r="A563" s="41"/>
      <c r="B563" s="42"/>
      <c r="C563" s="42"/>
      <c r="D563" s="43"/>
      <c r="E563" s="44"/>
      <c r="F563" s="45" t="str">
        <f aca="false">IF($B563="","",N($D563)*IF(N($E563)&gt;0,$E563,IFERROR(INDEX(Costos!$K$23:$K$300,MATCH($B563,Costos!$A$23:$A$300,0)),0)))</f>
        <v/>
      </c>
      <c r="G563" s="42"/>
      <c r="H563" s="42"/>
    </row>
    <row r="564" customFormat="false" ht="15.75" hidden="false" customHeight="true" outlineLevel="0" collapsed="false">
      <c r="A564" s="41"/>
      <c r="B564" s="42"/>
      <c r="C564" s="42"/>
      <c r="D564" s="43"/>
      <c r="E564" s="44"/>
      <c r="F564" s="45" t="str">
        <f aca="false">IF($B564="","",N($D564)*IF(N($E564)&gt;0,$E564,IFERROR(INDEX(Costos!$K$23:$K$300,MATCH($B564,Costos!$A$23:$A$300,0)),0)))</f>
        <v/>
      </c>
      <c r="G564" s="42"/>
      <c r="H564" s="42"/>
    </row>
    <row r="565" customFormat="false" ht="15.75" hidden="false" customHeight="true" outlineLevel="0" collapsed="false">
      <c r="A565" s="41"/>
      <c r="B565" s="42"/>
      <c r="C565" s="42"/>
      <c r="D565" s="43"/>
      <c r="E565" s="44"/>
      <c r="F565" s="45" t="str">
        <f aca="false">IF($B565="","",N($D565)*IF(N($E565)&gt;0,$E565,IFERROR(INDEX(Costos!$K$23:$K$300,MATCH($B565,Costos!$A$23:$A$300,0)),0)))</f>
        <v/>
      </c>
      <c r="G565" s="42"/>
      <c r="H565" s="42"/>
    </row>
    <row r="566" customFormat="false" ht="15.75" hidden="false" customHeight="true" outlineLevel="0" collapsed="false">
      <c r="A566" s="41"/>
      <c r="B566" s="42"/>
      <c r="C566" s="42"/>
      <c r="D566" s="43"/>
      <c r="E566" s="44"/>
      <c r="F566" s="45" t="str">
        <f aca="false">IF($B566="","",N($D566)*IF(N($E566)&gt;0,$E566,IFERROR(INDEX(Costos!$K$23:$K$300,MATCH($B566,Costos!$A$23:$A$300,0)),0)))</f>
        <v/>
      </c>
      <c r="G566" s="42"/>
      <c r="H566" s="42"/>
    </row>
    <row r="567" customFormat="false" ht="15.75" hidden="false" customHeight="true" outlineLevel="0" collapsed="false">
      <c r="A567" s="41"/>
      <c r="B567" s="42"/>
      <c r="C567" s="42"/>
      <c r="D567" s="43"/>
      <c r="E567" s="44"/>
      <c r="F567" s="45" t="str">
        <f aca="false">IF($B567="","",N($D567)*IF(N($E567)&gt;0,$E567,IFERROR(INDEX(Costos!$K$23:$K$300,MATCH($B567,Costos!$A$23:$A$300,0)),0)))</f>
        <v/>
      </c>
      <c r="G567" s="42"/>
      <c r="H567" s="42"/>
    </row>
    <row r="568" customFormat="false" ht="15.75" hidden="false" customHeight="true" outlineLevel="0" collapsed="false">
      <c r="A568" s="41"/>
      <c r="B568" s="42"/>
      <c r="C568" s="42"/>
      <c r="D568" s="43"/>
      <c r="E568" s="44"/>
      <c r="F568" s="45" t="str">
        <f aca="false">IF($B568="","",N($D568)*IF(N($E568)&gt;0,$E568,IFERROR(INDEX(Costos!$K$23:$K$300,MATCH($B568,Costos!$A$23:$A$300,0)),0)))</f>
        <v/>
      </c>
      <c r="G568" s="42"/>
      <c r="H568" s="42"/>
    </row>
    <row r="569" customFormat="false" ht="15.75" hidden="false" customHeight="true" outlineLevel="0" collapsed="false">
      <c r="A569" s="41"/>
      <c r="B569" s="42"/>
      <c r="C569" s="42"/>
      <c r="D569" s="43"/>
      <c r="E569" s="44"/>
      <c r="F569" s="45" t="str">
        <f aca="false">IF($B569="","",N($D569)*IF(N($E569)&gt;0,$E569,IFERROR(INDEX(Costos!$K$23:$K$300,MATCH($B569,Costos!$A$23:$A$300,0)),0)))</f>
        <v/>
      </c>
      <c r="G569" s="42"/>
      <c r="H569" s="42"/>
    </row>
    <row r="570" customFormat="false" ht="15.75" hidden="false" customHeight="true" outlineLevel="0" collapsed="false">
      <c r="A570" s="41"/>
      <c r="B570" s="42"/>
      <c r="C570" s="42"/>
      <c r="D570" s="43"/>
      <c r="E570" s="44"/>
      <c r="F570" s="45" t="str">
        <f aca="false">IF($B570="","",N($D570)*IF(N($E570)&gt;0,$E570,IFERROR(INDEX(Costos!$K$23:$K$300,MATCH($B570,Costos!$A$23:$A$300,0)),0)))</f>
        <v/>
      </c>
      <c r="G570" s="42"/>
      <c r="H570" s="42"/>
    </row>
    <row r="571" customFormat="false" ht="15.75" hidden="false" customHeight="true" outlineLevel="0" collapsed="false">
      <c r="A571" s="41"/>
      <c r="B571" s="42"/>
      <c r="C571" s="42"/>
      <c r="D571" s="43"/>
      <c r="E571" s="44"/>
      <c r="F571" s="45" t="str">
        <f aca="false">IF($B571="","",N($D571)*IF(N($E571)&gt;0,$E571,IFERROR(INDEX(Costos!$K$23:$K$300,MATCH($B571,Costos!$A$23:$A$300,0)),0)))</f>
        <v/>
      </c>
      <c r="G571" s="42"/>
      <c r="H571" s="42"/>
    </row>
    <row r="572" customFormat="false" ht="15.75" hidden="false" customHeight="true" outlineLevel="0" collapsed="false">
      <c r="A572" s="41"/>
      <c r="B572" s="42"/>
      <c r="C572" s="42"/>
      <c r="D572" s="43"/>
      <c r="E572" s="44"/>
      <c r="F572" s="45" t="str">
        <f aca="false">IF($B572="","",N($D572)*IF(N($E572)&gt;0,$E572,IFERROR(INDEX(Costos!$K$23:$K$300,MATCH($B572,Costos!$A$23:$A$300,0)),0)))</f>
        <v/>
      </c>
      <c r="G572" s="42"/>
      <c r="H572" s="42"/>
    </row>
    <row r="573" customFormat="false" ht="15.75" hidden="false" customHeight="true" outlineLevel="0" collapsed="false">
      <c r="A573" s="41"/>
      <c r="B573" s="42"/>
      <c r="C573" s="42"/>
      <c r="D573" s="43"/>
      <c r="E573" s="44"/>
      <c r="F573" s="45" t="str">
        <f aca="false">IF($B573="","",N($D573)*IF(N($E573)&gt;0,$E573,IFERROR(INDEX(Costos!$K$23:$K$300,MATCH($B573,Costos!$A$23:$A$300,0)),0)))</f>
        <v/>
      </c>
      <c r="G573" s="42"/>
      <c r="H573" s="42"/>
    </row>
    <row r="574" customFormat="false" ht="15.75" hidden="false" customHeight="true" outlineLevel="0" collapsed="false">
      <c r="A574" s="41"/>
      <c r="B574" s="42"/>
      <c r="C574" s="42"/>
      <c r="D574" s="43"/>
      <c r="E574" s="44"/>
      <c r="F574" s="45" t="str">
        <f aca="false">IF($B574="","",N($D574)*IF(N($E574)&gt;0,$E574,IFERROR(INDEX(Costos!$K$23:$K$300,MATCH($B574,Costos!$A$23:$A$300,0)),0)))</f>
        <v/>
      </c>
      <c r="G574" s="42"/>
      <c r="H574" s="42"/>
    </row>
    <row r="575" customFormat="false" ht="15.75" hidden="false" customHeight="true" outlineLevel="0" collapsed="false">
      <c r="A575" s="41"/>
      <c r="B575" s="42"/>
      <c r="C575" s="42"/>
      <c r="D575" s="43"/>
      <c r="E575" s="44"/>
      <c r="F575" s="45" t="str">
        <f aca="false">IF($B575="","",N($D575)*IF(N($E575)&gt;0,$E575,IFERROR(INDEX(Costos!$K$23:$K$300,MATCH($B575,Costos!$A$23:$A$300,0)),0)))</f>
        <v/>
      </c>
      <c r="G575" s="42"/>
      <c r="H575" s="42"/>
    </row>
    <row r="576" customFormat="false" ht="15.75" hidden="false" customHeight="true" outlineLevel="0" collapsed="false">
      <c r="A576" s="41"/>
      <c r="B576" s="42"/>
      <c r="C576" s="42"/>
      <c r="D576" s="43"/>
      <c r="E576" s="44"/>
      <c r="F576" s="45" t="str">
        <f aca="false">IF($B576="","",N($D576)*IF(N($E576)&gt;0,$E576,IFERROR(INDEX(Costos!$K$23:$K$300,MATCH($B576,Costos!$A$23:$A$300,0)),0)))</f>
        <v/>
      </c>
      <c r="G576" s="42"/>
      <c r="H576" s="42"/>
    </row>
    <row r="577" customFormat="false" ht="15.75" hidden="false" customHeight="true" outlineLevel="0" collapsed="false">
      <c r="A577" s="41"/>
      <c r="B577" s="42"/>
      <c r="C577" s="42"/>
      <c r="D577" s="43"/>
      <c r="E577" s="44"/>
      <c r="F577" s="45" t="str">
        <f aca="false">IF($B577="","",N($D577)*IF(N($E577)&gt;0,$E577,IFERROR(INDEX(Costos!$K$23:$K$300,MATCH($B577,Costos!$A$23:$A$300,0)),0)))</f>
        <v/>
      </c>
      <c r="G577" s="42"/>
      <c r="H577" s="42"/>
    </row>
    <row r="578" customFormat="false" ht="15.75" hidden="false" customHeight="true" outlineLevel="0" collapsed="false">
      <c r="A578" s="41"/>
      <c r="B578" s="42"/>
      <c r="C578" s="42"/>
      <c r="D578" s="43"/>
      <c r="E578" s="44"/>
      <c r="F578" s="45" t="str">
        <f aca="false">IF($B578="","",N($D578)*IF(N($E578)&gt;0,$E578,IFERROR(INDEX(Costos!$K$23:$K$300,MATCH($B578,Costos!$A$23:$A$300,0)),0)))</f>
        <v/>
      </c>
      <c r="G578" s="42"/>
      <c r="H578" s="42"/>
    </row>
    <row r="579" customFormat="false" ht="15.75" hidden="false" customHeight="true" outlineLevel="0" collapsed="false">
      <c r="A579" s="41"/>
      <c r="B579" s="42"/>
      <c r="C579" s="42"/>
      <c r="D579" s="43"/>
      <c r="E579" s="44"/>
      <c r="F579" s="45" t="str">
        <f aca="false">IF($B579="","",N($D579)*IF(N($E579)&gt;0,$E579,IFERROR(INDEX(Costos!$K$23:$K$300,MATCH($B579,Costos!$A$23:$A$300,0)),0)))</f>
        <v/>
      </c>
      <c r="G579" s="42"/>
      <c r="H579" s="42"/>
    </row>
    <row r="580" customFormat="false" ht="15.75" hidden="false" customHeight="true" outlineLevel="0" collapsed="false">
      <c r="A580" s="41"/>
      <c r="B580" s="42"/>
      <c r="C580" s="42"/>
      <c r="D580" s="43"/>
      <c r="E580" s="44"/>
      <c r="F580" s="45" t="str">
        <f aca="false">IF($B580="","",N($D580)*IF(N($E580)&gt;0,$E580,IFERROR(INDEX(Costos!$K$23:$K$300,MATCH($B580,Costos!$A$23:$A$300,0)),0)))</f>
        <v/>
      </c>
      <c r="G580" s="42"/>
      <c r="H580" s="42"/>
    </row>
    <row r="581" customFormat="false" ht="15.75" hidden="false" customHeight="true" outlineLevel="0" collapsed="false">
      <c r="A581" s="41"/>
      <c r="B581" s="42"/>
      <c r="C581" s="42"/>
      <c r="D581" s="43"/>
      <c r="E581" s="44"/>
      <c r="F581" s="45" t="str">
        <f aca="false">IF($B581="","",N($D581)*IF(N($E581)&gt;0,$E581,IFERROR(INDEX(Costos!$K$23:$K$300,MATCH($B581,Costos!$A$23:$A$300,0)),0)))</f>
        <v/>
      </c>
      <c r="G581" s="42"/>
      <c r="H581" s="42"/>
    </row>
    <row r="582" customFormat="false" ht="15.75" hidden="false" customHeight="true" outlineLevel="0" collapsed="false">
      <c r="A582" s="41"/>
      <c r="B582" s="42"/>
      <c r="C582" s="42"/>
      <c r="D582" s="43"/>
      <c r="E582" s="44"/>
      <c r="F582" s="45" t="str">
        <f aca="false">IF($B582="","",N($D582)*IF(N($E582)&gt;0,$E582,IFERROR(INDEX(Costos!$K$23:$K$300,MATCH($B582,Costos!$A$23:$A$300,0)),0)))</f>
        <v/>
      </c>
      <c r="G582" s="42"/>
      <c r="H582" s="42"/>
    </row>
    <row r="583" customFormat="false" ht="15.75" hidden="false" customHeight="true" outlineLevel="0" collapsed="false">
      <c r="A583" s="41"/>
      <c r="B583" s="42"/>
      <c r="C583" s="42"/>
      <c r="D583" s="43"/>
      <c r="E583" s="44"/>
      <c r="F583" s="45" t="str">
        <f aca="false">IF($B583="","",N($D583)*IF(N($E583)&gt;0,$E583,IFERROR(INDEX(Costos!$K$23:$K$300,MATCH($B583,Costos!$A$23:$A$300,0)),0)))</f>
        <v/>
      </c>
      <c r="G583" s="42"/>
      <c r="H583" s="42"/>
    </row>
    <row r="584" customFormat="false" ht="15.75" hidden="false" customHeight="true" outlineLevel="0" collapsed="false">
      <c r="A584" s="41"/>
      <c r="B584" s="42"/>
      <c r="C584" s="42"/>
      <c r="D584" s="43"/>
      <c r="E584" s="44"/>
      <c r="F584" s="45" t="str">
        <f aca="false">IF($B584="","",N($D584)*IF(N($E584)&gt;0,$E584,IFERROR(INDEX(Costos!$K$23:$K$300,MATCH($B584,Costos!$A$23:$A$300,0)),0)))</f>
        <v/>
      </c>
      <c r="G584" s="42"/>
      <c r="H584" s="42"/>
    </row>
    <row r="585" customFormat="false" ht="15.75" hidden="false" customHeight="true" outlineLevel="0" collapsed="false">
      <c r="A585" s="41"/>
      <c r="B585" s="42"/>
      <c r="C585" s="42"/>
      <c r="D585" s="43"/>
      <c r="E585" s="44"/>
      <c r="F585" s="45" t="str">
        <f aca="false">IF($B585="","",N($D585)*IF(N($E585)&gt;0,$E585,IFERROR(INDEX(Costos!$K$23:$K$300,MATCH($B585,Costos!$A$23:$A$300,0)),0)))</f>
        <v/>
      </c>
      <c r="G585" s="42"/>
      <c r="H585" s="42"/>
    </row>
    <row r="586" customFormat="false" ht="15.75" hidden="false" customHeight="true" outlineLevel="0" collapsed="false">
      <c r="A586" s="41"/>
      <c r="B586" s="42"/>
      <c r="C586" s="42"/>
      <c r="D586" s="43"/>
      <c r="E586" s="44"/>
      <c r="F586" s="45" t="str">
        <f aca="false">IF($B586="","",N($D586)*IF(N($E586)&gt;0,$E586,IFERROR(INDEX(Costos!$K$23:$K$300,MATCH($B586,Costos!$A$23:$A$300,0)),0)))</f>
        <v/>
      </c>
      <c r="G586" s="42"/>
      <c r="H586" s="42"/>
    </row>
    <row r="587" customFormat="false" ht="15.75" hidden="false" customHeight="true" outlineLevel="0" collapsed="false">
      <c r="A587" s="41"/>
      <c r="B587" s="42"/>
      <c r="C587" s="42"/>
      <c r="D587" s="43"/>
      <c r="E587" s="44"/>
      <c r="F587" s="45" t="str">
        <f aca="false">IF($B587="","",N($D587)*IF(N($E587)&gt;0,$E587,IFERROR(INDEX(Costos!$K$23:$K$300,MATCH($B587,Costos!$A$23:$A$300,0)),0)))</f>
        <v/>
      </c>
      <c r="G587" s="42"/>
      <c r="H587" s="42"/>
    </row>
    <row r="588" customFormat="false" ht="15.75" hidden="false" customHeight="true" outlineLevel="0" collapsed="false">
      <c r="A588" s="41"/>
      <c r="B588" s="42"/>
      <c r="C588" s="42"/>
      <c r="D588" s="43"/>
      <c r="E588" s="44"/>
      <c r="F588" s="45" t="str">
        <f aca="false">IF($B588="","",N($D588)*IF(N($E588)&gt;0,$E588,IFERROR(INDEX(Costos!$K$23:$K$300,MATCH($B588,Costos!$A$23:$A$300,0)),0)))</f>
        <v/>
      </c>
      <c r="G588" s="42"/>
      <c r="H588" s="42"/>
    </row>
    <row r="589" customFormat="false" ht="15.75" hidden="false" customHeight="true" outlineLevel="0" collapsed="false">
      <c r="A589" s="41"/>
      <c r="B589" s="42"/>
      <c r="C589" s="42"/>
      <c r="D589" s="43"/>
      <c r="E589" s="44"/>
      <c r="F589" s="45" t="str">
        <f aca="false">IF($B589="","",N($D589)*IF(N($E589)&gt;0,$E589,IFERROR(INDEX(Costos!$K$23:$K$300,MATCH($B589,Costos!$A$23:$A$300,0)),0)))</f>
        <v/>
      </c>
      <c r="G589" s="42"/>
      <c r="H589" s="42"/>
    </row>
    <row r="590" customFormat="false" ht="15.75" hidden="false" customHeight="true" outlineLevel="0" collapsed="false">
      <c r="A590" s="41"/>
      <c r="B590" s="42"/>
      <c r="C590" s="42"/>
      <c r="D590" s="43"/>
      <c r="E590" s="44"/>
      <c r="F590" s="45" t="str">
        <f aca="false">IF($B590="","",N($D590)*IF(N($E590)&gt;0,$E590,IFERROR(INDEX(Costos!$K$23:$K$300,MATCH($B590,Costos!$A$23:$A$300,0)),0)))</f>
        <v/>
      </c>
      <c r="G590" s="42"/>
      <c r="H590" s="42"/>
    </row>
    <row r="591" customFormat="false" ht="15.75" hidden="false" customHeight="true" outlineLevel="0" collapsed="false">
      <c r="A591" s="41"/>
      <c r="B591" s="42"/>
      <c r="C591" s="42"/>
      <c r="D591" s="43"/>
      <c r="E591" s="44"/>
      <c r="F591" s="45" t="str">
        <f aca="false">IF($B591="","",N($D591)*IF(N($E591)&gt;0,$E591,IFERROR(INDEX(Costos!$K$23:$K$300,MATCH($B591,Costos!$A$23:$A$300,0)),0)))</f>
        <v/>
      </c>
      <c r="G591" s="42"/>
      <c r="H591" s="42"/>
    </row>
    <row r="592" customFormat="false" ht="15.75" hidden="false" customHeight="true" outlineLevel="0" collapsed="false">
      <c r="A592" s="41"/>
      <c r="B592" s="42"/>
      <c r="C592" s="42"/>
      <c r="D592" s="43"/>
      <c r="E592" s="44"/>
      <c r="F592" s="45" t="str">
        <f aca="false">IF($B592="","",N($D592)*IF(N($E592)&gt;0,$E592,IFERROR(INDEX(Costos!$K$23:$K$300,MATCH($B592,Costos!$A$23:$A$300,0)),0)))</f>
        <v/>
      </c>
      <c r="G592" s="42"/>
      <c r="H592" s="42"/>
    </row>
    <row r="593" customFormat="false" ht="15.75" hidden="false" customHeight="true" outlineLevel="0" collapsed="false">
      <c r="A593" s="41"/>
      <c r="B593" s="42"/>
      <c r="C593" s="42"/>
      <c r="D593" s="43"/>
      <c r="E593" s="44"/>
      <c r="F593" s="45" t="str">
        <f aca="false">IF($B593="","",N($D593)*IF(N($E593)&gt;0,$E593,IFERROR(INDEX(Costos!$K$23:$K$300,MATCH($B593,Costos!$A$23:$A$300,0)),0)))</f>
        <v/>
      </c>
      <c r="G593" s="42"/>
      <c r="H593" s="42"/>
    </row>
    <row r="594" customFormat="false" ht="15.75" hidden="false" customHeight="true" outlineLevel="0" collapsed="false">
      <c r="A594" s="41"/>
      <c r="B594" s="42"/>
      <c r="C594" s="42"/>
      <c r="D594" s="43"/>
      <c r="E594" s="44"/>
      <c r="F594" s="45" t="str">
        <f aca="false">IF($B594="","",N($D594)*IF(N($E594)&gt;0,$E594,IFERROR(INDEX(Costos!$K$23:$K$300,MATCH($B594,Costos!$A$23:$A$300,0)),0)))</f>
        <v/>
      </c>
      <c r="G594" s="42"/>
      <c r="H594" s="42"/>
    </row>
    <row r="595" customFormat="false" ht="15.75" hidden="false" customHeight="true" outlineLevel="0" collapsed="false">
      <c r="A595" s="41"/>
      <c r="B595" s="42"/>
      <c r="C595" s="42"/>
      <c r="D595" s="43"/>
      <c r="E595" s="44"/>
      <c r="F595" s="45" t="str">
        <f aca="false">IF($B595="","",N($D595)*IF(N($E595)&gt;0,$E595,IFERROR(INDEX(Costos!$K$23:$K$300,MATCH($B595,Costos!$A$23:$A$300,0)),0)))</f>
        <v/>
      </c>
      <c r="G595" s="42"/>
      <c r="H595" s="42"/>
    </row>
    <row r="596" customFormat="false" ht="15.75" hidden="false" customHeight="true" outlineLevel="0" collapsed="false">
      <c r="A596" s="41"/>
      <c r="B596" s="42"/>
      <c r="C596" s="42"/>
      <c r="D596" s="43"/>
      <c r="E596" s="44"/>
      <c r="F596" s="45" t="str">
        <f aca="false">IF($B596="","",N($D596)*IF(N($E596)&gt;0,$E596,IFERROR(INDEX(Costos!$K$23:$K$300,MATCH($B596,Costos!$A$23:$A$300,0)),0)))</f>
        <v/>
      </c>
      <c r="G596" s="42"/>
      <c r="H596" s="42"/>
    </row>
    <row r="597" customFormat="false" ht="15.75" hidden="false" customHeight="true" outlineLevel="0" collapsed="false">
      <c r="A597" s="41"/>
      <c r="B597" s="42"/>
      <c r="C597" s="42"/>
      <c r="D597" s="43"/>
      <c r="E597" s="44"/>
      <c r="F597" s="45" t="str">
        <f aca="false">IF($B597="","",N($D597)*IF(N($E597)&gt;0,$E597,IFERROR(INDEX(Costos!$K$23:$K$300,MATCH($B597,Costos!$A$23:$A$300,0)),0)))</f>
        <v/>
      </c>
      <c r="G597" s="42"/>
      <c r="H597" s="42"/>
    </row>
    <row r="598" customFormat="false" ht="15.75" hidden="false" customHeight="true" outlineLevel="0" collapsed="false">
      <c r="A598" s="41"/>
      <c r="B598" s="42"/>
      <c r="C598" s="42"/>
      <c r="D598" s="43"/>
      <c r="E598" s="44"/>
      <c r="F598" s="45" t="str">
        <f aca="false">IF($B598="","",N($D598)*IF(N($E598)&gt;0,$E598,IFERROR(INDEX(Costos!$K$23:$K$300,MATCH($B598,Costos!$A$23:$A$300,0)),0)))</f>
        <v/>
      </c>
      <c r="G598" s="42"/>
      <c r="H598" s="42"/>
    </row>
    <row r="599" customFormat="false" ht="15.75" hidden="false" customHeight="true" outlineLevel="0" collapsed="false">
      <c r="A599" s="41"/>
      <c r="B599" s="42"/>
      <c r="C599" s="42"/>
      <c r="D599" s="43"/>
      <c r="E599" s="44"/>
      <c r="F599" s="45" t="str">
        <f aca="false">IF($B599="","",N($D599)*IF(N($E599)&gt;0,$E599,IFERROR(INDEX(Costos!$K$23:$K$300,MATCH($B599,Costos!$A$23:$A$300,0)),0)))</f>
        <v/>
      </c>
      <c r="G599" s="42"/>
      <c r="H599" s="42"/>
    </row>
    <row r="600" customFormat="false" ht="15.75" hidden="false" customHeight="true" outlineLevel="0" collapsed="false">
      <c r="A600" s="41"/>
      <c r="B600" s="42"/>
      <c r="C600" s="42"/>
      <c r="D600" s="43"/>
      <c r="E600" s="44"/>
      <c r="F600" s="45" t="str">
        <f aca="false">IF($B600="","",N($D600)*IF(N($E600)&gt;0,$E600,IFERROR(INDEX(Costos!$K$23:$K$300,MATCH($B600,Costos!$A$23:$A$300,0)),0)))</f>
        <v/>
      </c>
      <c r="G600" s="42"/>
      <c r="H600" s="42"/>
    </row>
    <row r="601" customFormat="false" ht="15.75" hidden="false" customHeight="true" outlineLevel="0" collapsed="false">
      <c r="A601" s="41"/>
      <c r="B601" s="42"/>
      <c r="C601" s="42"/>
      <c r="D601" s="43"/>
      <c r="E601" s="44"/>
      <c r="F601" s="45" t="str">
        <f aca="false">IF($B601="","",N($D601)*IF(N($E601)&gt;0,$E601,IFERROR(INDEX(Costos!$K$23:$K$300,MATCH($B601,Costos!$A$23:$A$300,0)),0)))</f>
        <v/>
      </c>
      <c r="G601" s="42"/>
      <c r="H601" s="42"/>
    </row>
    <row r="602" customFormat="false" ht="15.75" hidden="false" customHeight="true" outlineLevel="0" collapsed="false">
      <c r="A602" s="41"/>
      <c r="B602" s="42"/>
      <c r="C602" s="42"/>
      <c r="D602" s="43"/>
      <c r="E602" s="44"/>
      <c r="F602" s="45" t="str">
        <f aca="false">IF($B602="","",N($D602)*IF(N($E602)&gt;0,$E602,IFERROR(INDEX(Costos!$K$23:$K$300,MATCH($B602,Costos!$A$23:$A$300,0)),0)))</f>
        <v/>
      </c>
      <c r="G602" s="42"/>
      <c r="H602" s="42"/>
    </row>
    <row r="603" customFormat="false" ht="15.75" hidden="false" customHeight="true" outlineLevel="0" collapsed="false">
      <c r="A603" s="41"/>
      <c r="B603" s="42"/>
      <c r="C603" s="42"/>
      <c r="D603" s="43"/>
      <c r="E603" s="44"/>
      <c r="F603" s="45" t="str">
        <f aca="false">IF($B603="","",N($D603)*IF(N($E603)&gt;0,$E603,IFERROR(INDEX(Costos!$K$23:$K$300,MATCH($B603,Costos!$A$23:$A$300,0)),0)))</f>
        <v/>
      </c>
      <c r="G603" s="42"/>
      <c r="H603" s="42"/>
    </row>
    <row r="604" customFormat="false" ht="15.75" hidden="false" customHeight="true" outlineLevel="0" collapsed="false">
      <c r="A604" s="41"/>
      <c r="B604" s="42"/>
      <c r="C604" s="42"/>
      <c r="D604" s="43"/>
      <c r="E604" s="44"/>
      <c r="F604" s="45" t="str">
        <f aca="false">IF($B604="","",N($D604)*IF(N($E604)&gt;0,$E604,IFERROR(INDEX(Costos!$K$23:$K$300,MATCH($B604,Costos!$A$23:$A$300,0)),0)))</f>
        <v/>
      </c>
      <c r="G604" s="42"/>
      <c r="H604" s="42"/>
    </row>
    <row r="605" customFormat="false" ht="15.75" hidden="false" customHeight="true" outlineLevel="0" collapsed="false">
      <c r="A605" s="41"/>
      <c r="B605" s="42"/>
      <c r="C605" s="42"/>
      <c r="D605" s="43"/>
      <c r="E605" s="44"/>
      <c r="F605" s="45" t="str">
        <f aca="false">IF($B605="","",N($D605)*IF(N($E605)&gt;0,$E605,IFERROR(INDEX(Costos!$K$23:$K$300,MATCH($B605,Costos!$A$23:$A$300,0)),0)))</f>
        <v/>
      </c>
      <c r="G605" s="42"/>
      <c r="H605" s="42"/>
    </row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>
      <c r="A608" s="39" t="s">
        <v>305</v>
      </c>
    </row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2">
    <dataValidation allowBlank="true" errorStyle="stop" operator="between" showDropDown="false" showErrorMessage="false" showInputMessage="false" sqref="C6:C605" type="list">
      <formula1>"Único,Chico,Mediano,Grande"</formula1>
      <formula2>0</formula2>
    </dataValidation>
    <dataValidation allowBlank="true" errorStyle="stop" operator="between" showDropDown="false" showErrorMessage="false" showInputMessage="false" sqref="B6:B605" type="list">
      <formula1>Costos!$A$23:$A$300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0" topLeftCell="D1" activePane="topRight" state="frozen"/>
      <selection pane="topLeft" activeCell="A1" activeCellId="0" sqref="A1"/>
      <selection pane="topRight" activeCell="E2" activeCellId="0" sqref="E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6.26"/>
    <col collapsed="false" customWidth="true" hidden="false" outlineLevel="0" max="2" min="2" style="0" width="12.25"/>
    <col collapsed="false" customWidth="true" hidden="false" outlineLevel="0" max="3" min="3" style="0" width="10.5"/>
    <col collapsed="false" customWidth="true" hidden="false" outlineLevel="0" max="5" min="4" style="0" width="7.88"/>
    <col collapsed="false" customWidth="true" hidden="false" outlineLevel="0" max="6" min="6" style="0" width="8.75"/>
    <col collapsed="false" customWidth="true" hidden="false" outlineLevel="0" max="8" min="7" style="0" width="7.88"/>
    <col collapsed="false" customWidth="true" hidden="false" outlineLevel="0" max="9" min="9" style="0" width="13.13"/>
    <col collapsed="false" customWidth="true" hidden="false" outlineLevel="0" max="10" min="10" style="0" width="8.75"/>
    <col collapsed="false" customWidth="true" hidden="false" outlineLevel="0" max="11" min="11" style="0" width="12.25"/>
    <col collapsed="false" customWidth="true" hidden="false" outlineLevel="0" max="26" min="12" style="0" width="7.63"/>
  </cols>
  <sheetData>
    <row r="1" customFormat="false" ht="17.35" hidden="false" customHeight="false" outlineLevel="0" collapsed="false">
      <c r="A1" s="38" t="s">
        <v>306</v>
      </c>
    </row>
    <row r="2" customFormat="false" ht="15" hidden="false" customHeight="false" outlineLevel="0" collapsed="false">
      <c r="A2" s="39" t="s">
        <v>307</v>
      </c>
    </row>
    <row r="3" customFormat="false" ht="15" hidden="false" customHeight="false" outlineLevel="0" collapsed="false">
      <c r="A3" s="39" t="s">
        <v>308</v>
      </c>
    </row>
    <row r="4" customFormat="false" ht="15" hidden="false" customHeight="false" outlineLevel="0" collapsed="false">
      <c r="I4" s="54"/>
    </row>
    <row r="5" customFormat="false" ht="15" hidden="false" customHeight="false" outlineLevel="0" collapsed="false">
      <c r="A5" s="55" t="s">
        <v>309</v>
      </c>
      <c r="B5" s="56" t="n">
        <v>1</v>
      </c>
      <c r="C5" s="39" t="s">
        <v>310</v>
      </c>
      <c r="E5" s="57" t="s">
        <v>311</v>
      </c>
      <c r="F5" s="58" t="n">
        <f aca="false">SUM(H9:H108)</f>
        <v>69</v>
      </c>
      <c r="H5" s="59" t="s">
        <v>312</v>
      </c>
      <c r="I5" s="60" t="n">
        <f aca="false">SUM(Compras!F:F)</f>
        <v>1321362.31025641</v>
      </c>
      <c r="J5" s="59" t="s">
        <v>313</v>
      </c>
      <c r="K5" s="61" t="n">
        <f aca="false">SUM(Ventas!$F$6:$F$605)</f>
        <v>978500</v>
      </c>
      <c r="L5" s="59" t="s">
        <v>314</v>
      </c>
      <c r="M5" s="62" t="n">
        <f aca="false" t="array" ref="M5:M5">SUM(Ventas!F:F)-SUMPRODUCT(Ventas!D6:D1000,IFERROR(VLOOKUP(Ventas!B6:B1000,Costos!A:I,9,FALSE()),0))</f>
        <v>412618.898135198</v>
      </c>
      <c r="N5" s="63" t="s">
        <v>315</v>
      </c>
      <c r="O5" s="64"/>
      <c r="P5" s="65"/>
    </row>
    <row r="6" customFormat="false" ht="15" hidden="false" customHeight="false" outlineLevel="0" collapsed="false">
      <c r="I6" s="66"/>
    </row>
    <row r="8" customFormat="false" ht="15" hidden="false" customHeight="false" outlineLevel="0" collapsed="false">
      <c r="A8" s="40" t="s">
        <v>33</v>
      </c>
      <c r="B8" s="40" t="s">
        <v>34</v>
      </c>
      <c r="C8" s="40" t="s">
        <v>35</v>
      </c>
      <c r="D8" s="40" t="s">
        <v>251</v>
      </c>
      <c r="E8" s="40" t="s">
        <v>254</v>
      </c>
      <c r="F8" s="40" t="s">
        <v>253</v>
      </c>
      <c r="G8" s="40" t="s">
        <v>255</v>
      </c>
      <c r="H8" s="40" t="s">
        <v>249</v>
      </c>
      <c r="I8" s="40" t="s">
        <v>316</v>
      </c>
      <c r="J8" s="40" t="s">
        <v>317</v>
      </c>
      <c r="K8" s="40" t="s">
        <v>318</v>
      </c>
    </row>
    <row r="9" customFormat="false" ht="15" hidden="false" customHeight="false" outlineLevel="0" collapsed="false">
      <c r="A9" s="67" t="str">
        <f aca="false">IF(Costos!$A23="","",Costos!$A23)</f>
        <v>Argollitas Classic N°1</v>
      </c>
      <c r="B9" s="68" t="str">
        <f aca="false">IF(Costos!$A23="","",Costos!$B23&amp;"")</f>
        <v>Plata 925</v>
      </c>
      <c r="C9" s="68" t="str">
        <f aca="false">IF(Costos!$A23="","",Costos!$C23&amp;"")</f>
        <v>Aros</v>
      </c>
      <c r="D9" s="69" t="n">
        <f aca="false">IF($A9="","",SUMIFS(Compras!$D$6:$D$605,Compras!$B$6:$B$605,$A9,Compras!$C$6:$C$605,"Único")-SUMIFS(Ventas!$D$6:$D$605,Ventas!$B$6:$B$605,$A9,Ventas!$C$6:$C$605,"Único"))</f>
        <v>0</v>
      </c>
      <c r="E9" s="69" t="str">
        <f aca="false">IF($A9="","",IF(LEFT($C9,6)="Anillo",SUMIFS(Compras!$D$6:$D$605,Compras!$B$6:$B$605,$A9,Compras!$C$6:$C$605,"Chico")-SUMIFS(Ventas!$D$6:$D$605,Ventas!$B$6:$B$605,$A9,Ventas!$C$6:$C$605,"Chico"),""))</f>
        <v/>
      </c>
      <c r="F9" s="69" t="str">
        <f aca="false">IF($A9="","",IF(LEFT($C9,6)="Anillo",SUMIFS(Compras!$D$6:$D$605,Compras!$B$6:$B$605,$A9,Compras!$C$6:$C$605,"Mediano")-SUMIFS(Ventas!$D$6:$D$605,Ventas!$B$6:$B$605,$A9,Ventas!$C$6:$C$605,"Mediano"),""))</f>
        <v/>
      </c>
      <c r="G9" s="69" t="str">
        <f aca="false">IF($A9="","",IF(LEFT($C9,6)="Anillo",SUMIFS(Compras!$D$6:$D$605,Compras!$B$6:$B$605,$A9,Compras!$C$6:$C$605,"Grande")-SUMIFS(Ventas!$D$6:$D$605,Ventas!$B$6:$B$605,$A9,Ventas!$C$6:$C$605,"Grande"),""))</f>
        <v/>
      </c>
      <c r="H9" s="69" t="n">
        <f aca="false">IF($A9="","",N($D9)+N($E9)+N($F9)+N($G9))</f>
        <v>0</v>
      </c>
      <c r="I9" s="70" t="str">
        <f aca="false">IF($A9="","",IF(N($H9)&lt;=0,"SIN STOCK",IF(LEFT($C9,6)="Anillo",IF(IF(AND(SUMIFS(Compras!$D$6:$D$605,Compras!$B$6:$B$605,$A9,Compras!$C$6:$C$605,"Chico")&gt;0,N($E9)&lt;=$B$5),"C ","")&amp;IF(AND(SUMIFS(Compras!$D$6:$D$605,Compras!$B$6:$B$605,$A9,Compras!$C$6:$C$605,"Mediano")&gt;0,N($F9)&lt;=$B$5),"M ","")&amp;IF(AND(SUMIFS(Compras!$D$6:$D$605,Compras!$B$6:$B$605,$A9,Compras!$C$6:$C$605,"Grande")&gt;0,N($G9)&lt;=$B$5),"G","")="","","Reponer "&amp;IF(AND(SUMIFS(Compras!$D$6:$D$605,Compras!$B$6:$B$605,$A9,Compras!$C$6:$C$605,"Chico")&gt;0,N($E9)&lt;=$B$5),"C ","")&amp;IF(AND(SUMIFS(Compras!$D$6:$D$605,Compras!$B$6:$B$605,$A9,Compras!$C$6:$C$605,"Mediano")&gt;0,N($F9)&lt;=$B$5),"M ","")&amp;IF(AND(SUMIFS(Compras!$D$6:$D$605,Compras!$B$6:$B$605,$A9,Compras!$C$6:$C$605,"Grande")&gt;0,N($G9)&lt;=$B$5),"G","")),IF(N($H9)&lt;=$B$5,"REPONER",""))))</f>
        <v>SIN STOCK</v>
      </c>
      <c r="J9" s="69" t="n">
        <f aca="false">IF($A9="","",SUMIFS(Ventas!$D$6:$D$605,Ventas!$B$6:$B$605,$A9))</f>
        <v>1</v>
      </c>
      <c r="K9" s="45" t="n">
        <f aca="false">IF($A9="","",SUMIFS(Ventas!$F$6:$F$605,Ventas!$B$6:$B$605,$A9))</f>
        <v>7000</v>
      </c>
    </row>
    <row r="10" customFormat="false" ht="15" hidden="false" customHeight="false" outlineLevel="0" collapsed="false">
      <c r="A10" s="67" t="str">
        <f aca="false">IF(Costos!$A24="","",Costos!$A24)</f>
        <v>Argollitas Classic N°2</v>
      </c>
      <c r="B10" s="68" t="str">
        <f aca="false">IF(Costos!$A24="","",Costos!$B24&amp;"")</f>
        <v>Plata 925</v>
      </c>
      <c r="C10" s="68" t="str">
        <f aca="false">IF(Costos!$A24="","",Costos!$C24&amp;"")</f>
        <v>Aros</v>
      </c>
      <c r="D10" s="69" t="n">
        <f aca="false">IF($A10="","",SUMIFS(Compras!$D$6:$D$605,Compras!$B$6:$B$605,$A10,Compras!$C$6:$C$605,"Único")-SUMIFS(Ventas!$D$6:$D$605,Ventas!$B$6:$B$605,$A10,Ventas!$C$6:$C$605,"Único"))</f>
        <v>0</v>
      </c>
      <c r="E10" s="69" t="str">
        <f aca="false">IF($A10="","",IF(LEFT($C10,6)="Anillo",SUMIFS(Compras!$D$6:$D$605,Compras!$B$6:$B$605,$A10,Compras!$C$6:$C$605,"Chico")-SUMIFS(Ventas!$D$6:$D$605,Ventas!$B$6:$B$605,$A10,Ventas!$C$6:$C$605,"Chico"),""))</f>
        <v/>
      </c>
      <c r="F10" s="69" t="str">
        <f aca="false">IF($A10="","",IF(LEFT($C10,6)="Anillo",SUMIFS(Compras!$D$6:$D$605,Compras!$B$6:$B$605,$A10,Compras!$C$6:$C$605,"Mediano")-SUMIFS(Ventas!$D$6:$D$605,Ventas!$B$6:$B$605,$A10,Ventas!$C$6:$C$605,"Mediano"),""))</f>
        <v/>
      </c>
      <c r="G10" s="69" t="str">
        <f aca="false">IF($A10="","",IF(LEFT($C10,6)="Anillo",SUMIFS(Compras!$D$6:$D$605,Compras!$B$6:$B$605,$A10,Compras!$C$6:$C$605,"Grande")-SUMIFS(Ventas!$D$6:$D$605,Ventas!$B$6:$B$605,$A10,Ventas!$C$6:$C$605,"Grande"),""))</f>
        <v/>
      </c>
      <c r="H10" s="69" t="n">
        <f aca="false">IF($A10="","",N($D10)+N($E10)+N($F10)+N($G10))</f>
        <v>0</v>
      </c>
      <c r="I10" s="70" t="str">
        <f aca="false">IF($A10="","",IF(N($H10)&lt;=0,"SIN STOCK",IF(LEFT($C10,6)="Anillo",IF(IF(AND(SUMIFS(Compras!$D$6:$D$605,Compras!$B$6:$B$605,$A10,Compras!$C$6:$C$605,"Chico")&gt;0,N($E10)&lt;=$B$5),"C ","")&amp;IF(AND(SUMIFS(Compras!$D$6:$D$605,Compras!$B$6:$B$605,$A10,Compras!$C$6:$C$605,"Mediano")&gt;0,N($F10)&lt;=$B$5),"M ","")&amp;IF(AND(SUMIFS(Compras!$D$6:$D$605,Compras!$B$6:$B$605,$A10,Compras!$C$6:$C$605,"Grande")&gt;0,N($G10)&lt;=$B$5),"G","")="","","Reponer "&amp;IF(AND(SUMIFS(Compras!$D$6:$D$605,Compras!$B$6:$B$605,$A10,Compras!$C$6:$C$605,"Chico")&gt;0,N($E10)&lt;=$B$5),"C ","")&amp;IF(AND(SUMIFS(Compras!$D$6:$D$605,Compras!$B$6:$B$605,$A10,Compras!$C$6:$C$605,"Mediano")&gt;0,N($F10)&lt;=$B$5),"M ","")&amp;IF(AND(SUMIFS(Compras!$D$6:$D$605,Compras!$B$6:$B$605,$A10,Compras!$C$6:$C$605,"Grande")&gt;0,N($G10)&lt;=$B$5),"G","")),IF(N($H10)&lt;=$B$5,"REPONER",""))))</f>
        <v>SIN STOCK</v>
      </c>
      <c r="J10" s="69" t="n">
        <f aca="false">IF($A10="","",SUMIFS(Ventas!$D$6:$D$605,Ventas!$B$6:$B$605,$A10))</f>
        <v>1</v>
      </c>
      <c r="K10" s="45" t="n">
        <f aca="false">IF($A10="","",SUMIFS(Ventas!$F$6:$F$605,Ventas!$B$6:$B$605,$A10))</f>
        <v>7500</v>
      </c>
    </row>
    <row r="11" customFormat="false" ht="15" hidden="false" customHeight="false" outlineLevel="0" collapsed="false">
      <c r="A11" s="67" t="str">
        <f aca="false">IF(Costos!$A25="","",Costos!$A25)</f>
        <v>Argollitas Classic N°3</v>
      </c>
      <c r="B11" s="68" t="str">
        <f aca="false">IF(Costos!$A25="","",Costos!$B25&amp;"")</f>
        <v>Plata 925</v>
      </c>
      <c r="C11" s="68" t="str">
        <f aca="false">IF(Costos!$A25="","",Costos!$C25&amp;"")</f>
        <v>Aros</v>
      </c>
      <c r="D11" s="69" t="n">
        <f aca="false">IF($A11="","",SUMIFS(Compras!$D$6:$D$605,Compras!$B$6:$B$605,$A11,Compras!$C$6:$C$605,"Único")-SUMIFS(Ventas!$D$6:$D$605,Ventas!$B$6:$B$605,$A11,Ventas!$C$6:$C$605,"Único"))</f>
        <v>0</v>
      </c>
      <c r="E11" s="69" t="str">
        <f aca="false">IF($A11="","",IF(LEFT($C11,6)="Anillo",SUMIFS(Compras!$D$6:$D$605,Compras!$B$6:$B$605,$A11,Compras!$C$6:$C$605,"Chico")-SUMIFS(Ventas!$D$6:$D$605,Ventas!$B$6:$B$605,$A11,Ventas!$C$6:$C$605,"Chico"),""))</f>
        <v/>
      </c>
      <c r="F11" s="69" t="str">
        <f aca="false">IF($A11="","",IF(LEFT($C11,6)="Anillo",SUMIFS(Compras!$D$6:$D$605,Compras!$B$6:$B$605,$A11,Compras!$C$6:$C$605,"Mediano")-SUMIFS(Ventas!$D$6:$D$605,Ventas!$B$6:$B$605,$A11,Ventas!$C$6:$C$605,"Mediano"),""))</f>
        <v/>
      </c>
      <c r="G11" s="69" t="str">
        <f aca="false">IF($A11="","",IF(LEFT($C11,6)="Anillo",SUMIFS(Compras!$D$6:$D$605,Compras!$B$6:$B$605,$A11,Compras!$C$6:$C$605,"Grande")-SUMIFS(Ventas!$D$6:$D$605,Ventas!$B$6:$B$605,$A11,Ventas!$C$6:$C$605,"Grande"),""))</f>
        <v/>
      </c>
      <c r="H11" s="69" t="n">
        <f aca="false">IF($A11="","",N($D11)+N($E11)+N($F11)+N($G11))</f>
        <v>0</v>
      </c>
      <c r="I11" s="70" t="str">
        <f aca="false">IF($A11="","",IF(N($H11)&lt;=0,"SIN STOCK",IF(LEFT($C11,6)="Anillo",IF(IF(AND(SUMIFS(Compras!$D$6:$D$605,Compras!$B$6:$B$605,$A11,Compras!$C$6:$C$605,"Chico")&gt;0,N($E11)&lt;=$B$5),"C ","")&amp;IF(AND(SUMIFS(Compras!$D$6:$D$605,Compras!$B$6:$B$605,$A11,Compras!$C$6:$C$605,"Mediano")&gt;0,N($F11)&lt;=$B$5),"M ","")&amp;IF(AND(SUMIFS(Compras!$D$6:$D$605,Compras!$B$6:$B$605,$A11,Compras!$C$6:$C$605,"Grande")&gt;0,N($G11)&lt;=$B$5),"G","")="","","Reponer "&amp;IF(AND(SUMIFS(Compras!$D$6:$D$605,Compras!$B$6:$B$605,$A11,Compras!$C$6:$C$605,"Chico")&gt;0,N($E11)&lt;=$B$5),"C ","")&amp;IF(AND(SUMIFS(Compras!$D$6:$D$605,Compras!$B$6:$B$605,$A11,Compras!$C$6:$C$605,"Mediano")&gt;0,N($F11)&lt;=$B$5),"M ","")&amp;IF(AND(SUMIFS(Compras!$D$6:$D$605,Compras!$B$6:$B$605,$A11,Compras!$C$6:$C$605,"Grande")&gt;0,N($G11)&lt;=$B$5),"G","")),IF(N($H11)&lt;=$B$5,"REPONER",""))))</f>
        <v>SIN STOCK</v>
      </c>
      <c r="J11" s="69" t="n">
        <f aca="false">IF($A11="","",SUMIFS(Ventas!$D$6:$D$605,Ventas!$B$6:$B$605,$A11))</f>
        <v>1</v>
      </c>
      <c r="K11" s="45" t="n">
        <f aca="false">IF($A11="","",SUMIFS(Ventas!$F$6:$F$605,Ventas!$B$6:$B$605,$A11))</f>
        <v>8000</v>
      </c>
    </row>
    <row r="12" customFormat="false" ht="15" hidden="false" customHeight="false" outlineLevel="0" collapsed="false">
      <c r="A12" s="67" t="str">
        <f aca="false">IF(Costos!$A26="","",Costos!$A26)</f>
        <v>Argollitas Classic N°4</v>
      </c>
      <c r="B12" s="68" t="str">
        <f aca="false">IF(Costos!$A26="","",Costos!$B26&amp;"")</f>
        <v>Plata 925</v>
      </c>
      <c r="C12" s="68" t="str">
        <f aca="false">IF(Costos!$A26="","",Costos!$C26&amp;"")</f>
        <v>Aros</v>
      </c>
      <c r="D12" s="69" t="n">
        <f aca="false">IF($A12="","",SUMIFS(Compras!$D$6:$D$605,Compras!$B$6:$B$605,$A12,Compras!$C$6:$C$605,"Único")-SUMIFS(Ventas!$D$6:$D$605,Ventas!$B$6:$B$605,$A12,Ventas!$C$6:$C$605,"Único"))</f>
        <v>0</v>
      </c>
      <c r="E12" s="69" t="str">
        <f aca="false">IF($A12="","",IF(LEFT($C12,6)="Anillo",SUMIFS(Compras!$D$6:$D$605,Compras!$B$6:$B$605,$A12,Compras!$C$6:$C$605,"Chico")-SUMIFS(Ventas!$D$6:$D$605,Ventas!$B$6:$B$605,$A12,Ventas!$C$6:$C$605,"Chico"),""))</f>
        <v/>
      </c>
      <c r="F12" s="69" t="str">
        <f aca="false">IF($A12="","",IF(LEFT($C12,6)="Anillo",SUMIFS(Compras!$D$6:$D$605,Compras!$B$6:$B$605,$A12,Compras!$C$6:$C$605,"Mediano")-SUMIFS(Ventas!$D$6:$D$605,Ventas!$B$6:$B$605,$A12,Ventas!$C$6:$C$605,"Mediano"),""))</f>
        <v/>
      </c>
      <c r="G12" s="69" t="str">
        <f aca="false">IF($A12="","",IF(LEFT($C12,6)="Anillo",SUMIFS(Compras!$D$6:$D$605,Compras!$B$6:$B$605,$A12,Compras!$C$6:$C$605,"Grande")-SUMIFS(Ventas!$D$6:$D$605,Ventas!$B$6:$B$605,$A12,Ventas!$C$6:$C$605,"Grande"),""))</f>
        <v/>
      </c>
      <c r="H12" s="69" t="n">
        <f aca="false">IF($A12="","",N($D12)+N($E12)+N($F12)+N($G12))</f>
        <v>0</v>
      </c>
      <c r="I12" s="70" t="str">
        <f aca="false">IF($A12="","",IF(N($H12)&lt;=0,"SIN STOCK",IF(LEFT($C12,6)="Anillo",IF(IF(AND(SUMIFS(Compras!$D$6:$D$605,Compras!$B$6:$B$605,$A12,Compras!$C$6:$C$605,"Chico")&gt;0,N($E12)&lt;=$B$5),"C ","")&amp;IF(AND(SUMIFS(Compras!$D$6:$D$605,Compras!$B$6:$B$605,$A12,Compras!$C$6:$C$605,"Mediano")&gt;0,N($F12)&lt;=$B$5),"M ","")&amp;IF(AND(SUMIFS(Compras!$D$6:$D$605,Compras!$B$6:$B$605,$A12,Compras!$C$6:$C$605,"Grande")&gt;0,N($G12)&lt;=$B$5),"G","")="","","Reponer "&amp;IF(AND(SUMIFS(Compras!$D$6:$D$605,Compras!$B$6:$B$605,$A12,Compras!$C$6:$C$605,"Chico")&gt;0,N($E12)&lt;=$B$5),"C ","")&amp;IF(AND(SUMIFS(Compras!$D$6:$D$605,Compras!$B$6:$B$605,$A12,Compras!$C$6:$C$605,"Mediano")&gt;0,N($F12)&lt;=$B$5),"M ","")&amp;IF(AND(SUMIFS(Compras!$D$6:$D$605,Compras!$B$6:$B$605,$A12,Compras!$C$6:$C$605,"Grande")&gt;0,N($G12)&lt;=$B$5),"G","")),IF(N($H12)&lt;=$B$5,"REPONER",""))))</f>
        <v>SIN STOCK</v>
      </c>
      <c r="J12" s="69" t="n">
        <f aca="false">IF($A12="","",SUMIFS(Ventas!$D$6:$D$605,Ventas!$B$6:$B$605,$A12))</f>
        <v>1</v>
      </c>
      <c r="K12" s="45" t="n">
        <f aca="false">IF($A12="","",SUMIFS(Ventas!$F$6:$F$605,Ventas!$B$6:$B$605,$A12))</f>
        <v>8500</v>
      </c>
    </row>
    <row r="13" customFormat="false" ht="15" hidden="false" customHeight="false" outlineLevel="0" collapsed="false">
      <c r="A13" s="67" t="str">
        <f aca="false">IF(Costos!$A27="","",Costos!$A27)</f>
        <v>Argollitas Classic N°5</v>
      </c>
      <c r="B13" s="68" t="str">
        <f aca="false">IF(Costos!$A27="","",Costos!$B27&amp;"")</f>
        <v>Plata 925</v>
      </c>
      <c r="C13" s="68" t="str">
        <f aca="false">IF(Costos!$A27="","",Costos!$C27&amp;"")</f>
        <v>Aros</v>
      </c>
      <c r="D13" s="69" t="n">
        <f aca="false">IF($A13="","",SUMIFS(Compras!$D$6:$D$605,Compras!$B$6:$B$605,$A13,Compras!$C$6:$C$605,"Único")-SUMIFS(Ventas!$D$6:$D$605,Ventas!$B$6:$B$605,$A13,Ventas!$C$6:$C$605,"Único"))</f>
        <v>1</v>
      </c>
      <c r="E13" s="69" t="str">
        <f aca="false">IF($A13="","",IF(LEFT($C13,6)="Anillo",SUMIFS(Compras!$D$6:$D$605,Compras!$B$6:$B$605,$A13,Compras!$C$6:$C$605,"Chico")-SUMIFS(Ventas!$D$6:$D$605,Ventas!$B$6:$B$605,$A13,Ventas!$C$6:$C$605,"Chico"),""))</f>
        <v/>
      </c>
      <c r="F13" s="69" t="str">
        <f aca="false">IF($A13="","",IF(LEFT($C13,6)="Anillo",SUMIFS(Compras!$D$6:$D$605,Compras!$B$6:$B$605,$A13,Compras!$C$6:$C$605,"Mediano")-SUMIFS(Ventas!$D$6:$D$605,Ventas!$B$6:$B$605,$A13,Ventas!$C$6:$C$605,"Mediano"),""))</f>
        <v/>
      </c>
      <c r="G13" s="69" t="str">
        <f aca="false">IF($A13="","",IF(LEFT($C13,6)="Anillo",SUMIFS(Compras!$D$6:$D$605,Compras!$B$6:$B$605,$A13,Compras!$C$6:$C$605,"Grande")-SUMIFS(Ventas!$D$6:$D$605,Ventas!$B$6:$B$605,$A13,Ventas!$C$6:$C$605,"Grande"),""))</f>
        <v/>
      </c>
      <c r="H13" s="69" t="n">
        <f aca="false">IF($A13="","",N($D13)+N($E13)+N($F13)+N($G13))</f>
        <v>1</v>
      </c>
      <c r="I13" s="70" t="str">
        <f aca="false">IF($A13="","",IF(N($H13)&lt;=0,"SIN STOCK",IF(LEFT($C13,6)="Anillo",IF(IF(AND(SUMIFS(Compras!$D$6:$D$605,Compras!$B$6:$B$605,$A13,Compras!$C$6:$C$605,"Chico")&gt;0,N($E13)&lt;=$B$5),"C ","")&amp;IF(AND(SUMIFS(Compras!$D$6:$D$605,Compras!$B$6:$B$605,$A13,Compras!$C$6:$C$605,"Mediano")&gt;0,N($F13)&lt;=$B$5),"M ","")&amp;IF(AND(SUMIFS(Compras!$D$6:$D$605,Compras!$B$6:$B$605,$A13,Compras!$C$6:$C$605,"Grande")&gt;0,N($G13)&lt;=$B$5),"G","")="","","Reponer "&amp;IF(AND(SUMIFS(Compras!$D$6:$D$605,Compras!$B$6:$B$605,$A13,Compras!$C$6:$C$605,"Chico")&gt;0,N($E13)&lt;=$B$5),"C ","")&amp;IF(AND(SUMIFS(Compras!$D$6:$D$605,Compras!$B$6:$B$605,$A13,Compras!$C$6:$C$605,"Mediano")&gt;0,N($F13)&lt;=$B$5),"M ","")&amp;IF(AND(SUMIFS(Compras!$D$6:$D$605,Compras!$B$6:$B$605,$A13,Compras!$C$6:$C$605,"Grande")&gt;0,N($G13)&lt;=$B$5),"G","")),IF(N($H13)&lt;=$B$5,"REPONER",""))))</f>
        <v>REPONER</v>
      </c>
      <c r="J13" s="69" t="n">
        <f aca="false">IF($A13="","",SUMIFS(Ventas!$D$6:$D$605,Ventas!$B$6:$B$605,$A13))</f>
        <v>1</v>
      </c>
      <c r="K13" s="45" t="n">
        <f aca="false">IF($A13="","",SUMIFS(Ventas!$F$6:$F$605,Ventas!$B$6:$B$605,$A13))</f>
        <v>9000</v>
      </c>
    </row>
    <row r="14" customFormat="false" ht="15" hidden="false" customHeight="false" outlineLevel="0" collapsed="false">
      <c r="A14" s="67" t="str">
        <f aca="false">IF(Costos!$A28="","",Costos!$A28)</f>
        <v>Cubic Mini Circulo </v>
      </c>
      <c r="B14" s="68" t="str">
        <f aca="false">IF(Costos!$A28="","",Costos!$B28&amp;"")</f>
        <v>Plata 925</v>
      </c>
      <c r="C14" s="68" t="str">
        <f aca="false">IF(Costos!$A28="","",Costos!$C28&amp;"")</f>
        <v>Aros</v>
      </c>
      <c r="D14" s="69" t="n">
        <f aca="false">IF($A14="","",SUMIFS(Compras!$D$6:$D$605,Compras!$B$6:$B$605,$A14,Compras!$C$6:$C$605,"Único")-SUMIFS(Ventas!$D$6:$D$605,Ventas!$B$6:$B$605,$A14,Ventas!$C$6:$C$605,"Único"))</f>
        <v>0</v>
      </c>
      <c r="E14" s="69" t="str">
        <f aca="false">IF($A14="","",IF(LEFT($C14,6)="Anillo",SUMIFS(Compras!$D$6:$D$605,Compras!$B$6:$B$605,$A14,Compras!$C$6:$C$605,"Chico")-SUMIFS(Ventas!$D$6:$D$605,Ventas!$B$6:$B$605,$A14,Ventas!$C$6:$C$605,"Chico"),""))</f>
        <v/>
      </c>
      <c r="F14" s="69" t="str">
        <f aca="false">IF($A14="","",IF(LEFT($C14,6)="Anillo",SUMIFS(Compras!$D$6:$D$605,Compras!$B$6:$B$605,$A14,Compras!$C$6:$C$605,"Mediano")-SUMIFS(Ventas!$D$6:$D$605,Ventas!$B$6:$B$605,$A14,Ventas!$C$6:$C$605,"Mediano"),""))</f>
        <v/>
      </c>
      <c r="G14" s="69" t="str">
        <f aca="false">IF($A14="","",IF(LEFT($C14,6)="Anillo",SUMIFS(Compras!$D$6:$D$605,Compras!$B$6:$B$605,$A14,Compras!$C$6:$C$605,"Grande")-SUMIFS(Ventas!$D$6:$D$605,Ventas!$B$6:$B$605,$A14,Ventas!$C$6:$C$605,"Grande"),""))</f>
        <v/>
      </c>
      <c r="H14" s="69" t="n">
        <f aca="false">IF($A14="","",N($D14)+N($E14)+N($F14)+N($G14))</f>
        <v>0</v>
      </c>
      <c r="I14" s="70" t="str">
        <f aca="false">IF($A14="","",IF(N($H14)&lt;=0,"SIN STOCK",IF(LEFT($C14,6)="Anillo",IF(IF(AND(SUMIFS(Compras!$D$6:$D$605,Compras!$B$6:$B$605,$A14,Compras!$C$6:$C$605,"Chico")&gt;0,N($E14)&lt;=$B$5),"C ","")&amp;IF(AND(SUMIFS(Compras!$D$6:$D$605,Compras!$B$6:$B$605,$A14,Compras!$C$6:$C$605,"Mediano")&gt;0,N($F14)&lt;=$B$5),"M ","")&amp;IF(AND(SUMIFS(Compras!$D$6:$D$605,Compras!$B$6:$B$605,$A14,Compras!$C$6:$C$605,"Grande")&gt;0,N($G14)&lt;=$B$5),"G","")="","","Reponer "&amp;IF(AND(SUMIFS(Compras!$D$6:$D$605,Compras!$B$6:$B$605,$A14,Compras!$C$6:$C$605,"Chico")&gt;0,N($E14)&lt;=$B$5),"C ","")&amp;IF(AND(SUMIFS(Compras!$D$6:$D$605,Compras!$B$6:$B$605,$A14,Compras!$C$6:$C$605,"Mediano")&gt;0,N($F14)&lt;=$B$5),"M ","")&amp;IF(AND(SUMIFS(Compras!$D$6:$D$605,Compras!$B$6:$B$605,$A14,Compras!$C$6:$C$605,"Grande")&gt;0,N($G14)&lt;=$B$5),"G","")),IF(N($H14)&lt;=$B$5,"REPONER",""))))</f>
        <v>SIN STOCK</v>
      </c>
      <c r="J14" s="69" t="n">
        <f aca="false">IF($A14="","",SUMIFS(Ventas!$D$6:$D$605,Ventas!$B$6:$B$605,$A14))</f>
        <v>1</v>
      </c>
      <c r="K14" s="45" t="n">
        <f aca="false">IF($A14="","",SUMIFS(Ventas!$F$6:$F$605,Ventas!$B$6:$B$605,$A14))</f>
        <v>12000</v>
      </c>
    </row>
    <row r="15" customFormat="false" ht="15" hidden="false" customHeight="false" outlineLevel="0" collapsed="false">
      <c r="A15" s="67" t="str">
        <f aca="false">IF(Costos!$A29="","",Costos!$A29)</f>
        <v>Cubic Circulo Docha</v>
      </c>
      <c r="B15" s="68" t="str">
        <f aca="false">IF(Costos!$A29="","",Costos!$B29&amp;"")</f>
        <v>Plata 925</v>
      </c>
      <c r="C15" s="68" t="str">
        <f aca="false">IF(Costos!$A29="","",Costos!$C29&amp;"")</f>
        <v>Aros</v>
      </c>
      <c r="D15" s="69" t="n">
        <f aca="false">IF($A15="","",SUMIFS(Compras!$D$6:$D$605,Compras!$B$6:$B$605,$A15,Compras!$C$6:$C$605,"Único")-SUMIFS(Ventas!$D$6:$D$605,Ventas!$B$6:$B$605,$A15,Ventas!$C$6:$C$605,"Único"))</f>
        <v>0</v>
      </c>
      <c r="E15" s="69" t="str">
        <f aca="false">IF($A15="","",IF(LEFT($C15,6)="Anillo",SUMIFS(Compras!$D$6:$D$605,Compras!$B$6:$B$605,$A15,Compras!$C$6:$C$605,"Chico")-SUMIFS(Ventas!$D$6:$D$605,Ventas!$B$6:$B$605,$A15,Ventas!$C$6:$C$605,"Chico"),""))</f>
        <v/>
      </c>
      <c r="F15" s="69" t="str">
        <f aca="false">IF($A15="","",IF(LEFT($C15,6)="Anillo",SUMIFS(Compras!$D$6:$D$605,Compras!$B$6:$B$605,$A15,Compras!$C$6:$C$605,"Mediano")-SUMIFS(Ventas!$D$6:$D$605,Ventas!$B$6:$B$605,$A15,Ventas!$C$6:$C$605,"Mediano"),""))</f>
        <v/>
      </c>
      <c r="G15" s="69" t="str">
        <f aca="false">IF($A15="","",IF(LEFT($C15,6)="Anillo",SUMIFS(Compras!$D$6:$D$605,Compras!$B$6:$B$605,$A15,Compras!$C$6:$C$605,"Grande")-SUMIFS(Ventas!$D$6:$D$605,Ventas!$B$6:$B$605,$A15,Ventas!$C$6:$C$605,"Grande"),""))</f>
        <v/>
      </c>
      <c r="H15" s="69" t="n">
        <f aca="false">IF($A15="","",N($D15)+N($E15)+N($F15)+N($G15))</f>
        <v>0</v>
      </c>
      <c r="I15" s="70" t="str">
        <f aca="false">IF($A15="","",IF(N($H15)&lt;=0,"SIN STOCK",IF(LEFT($C15,6)="Anillo",IF(IF(AND(SUMIFS(Compras!$D$6:$D$605,Compras!$B$6:$B$605,$A15,Compras!$C$6:$C$605,"Chico")&gt;0,N($E15)&lt;=$B$5),"C ","")&amp;IF(AND(SUMIFS(Compras!$D$6:$D$605,Compras!$B$6:$B$605,$A15,Compras!$C$6:$C$605,"Mediano")&gt;0,N($F15)&lt;=$B$5),"M ","")&amp;IF(AND(SUMIFS(Compras!$D$6:$D$605,Compras!$B$6:$B$605,$A15,Compras!$C$6:$C$605,"Grande")&gt;0,N($G15)&lt;=$B$5),"G","")="","","Reponer "&amp;IF(AND(SUMIFS(Compras!$D$6:$D$605,Compras!$B$6:$B$605,$A15,Compras!$C$6:$C$605,"Chico")&gt;0,N($E15)&lt;=$B$5),"C ","")&amp;IF(AND(SUMIFS(Compras!$D$6:$D$605,Compras!$B$6:$B$605,$A15,Compras!$C$6:$C$605,"Mediano")&gt;0,N($F15)&lt;=$B$5),"M ","")&amp;IF(AND(SUMIFS(Compras!$D$6:$D$605,Compras!$B$6:$B$605,$A15,Compras!$C$6:$C$605,"Grande")&gt;0,N($G15)&lt;=$B$5),"G","")),IF(N($H15)&lt;=$B$5,"REPONER",""))))</f>
        <v>SIN STOCK</v>
      </c>
      <c r="J15" s="69" t="n">
        <f aca="false">IF($A15="","",SUMIFS(Ventas!$D$6:$D$605,Ventas!$B$6:$B$605,$A15))</f>
        <v>1</v>
      </c>
      <c r="K15" s="45" t="n">
        <f aca="false">IF($A15="","",SUMIFS(Ventas!$F$6:$F$605,Ventas!$B$6:$B$605,$A15))</f>
        <v>12500</v>
      </c>
    </row>
    <row r="16" customFormat="false" ht="15" hidden="false" customHeight="false" outlineLevel="0" collapsed="false">
      <c r="A16" s="67" t="str">
        <f aca="false">IF(Costos!$A30="","",Costos!$A30)</f>
        <v>Cubic Cuadrado</v>
      </c>
      <c r="B16" s="68" t="str">
        <f aca="false">IF(Costos!$A30="","",Costos!$B30&amp;"")</f>
        <v>Plata 925</v>
      </c>
      <c r="C16" s="68" t="str">
        <f aca="false">IF(Costos!$A30="","",Costos!$C30&amp;"")</f>
        <v>Aros</v>
      </c>
      <c r="D16" s="69" t="n">
        <f aca="false">IF($A16="","",SUMIFS(Compras!$D$6:$D$605,Compras!$B$6:$B$605,$A16,Compras!$C$6:$C$605,"Único")-SUMIFS(Ventas!$D$6:$D$605,Ventas!$B$6:$B$605,$A16,Ventas!$C$6:$C$605,"Único"))</f>
        <v>0</v>
      </c>
      <c r="E16" s="69" t="str">
        <f aca="false">IF($A16="","",IF(LEFT($C16,6)="Anillo",SUMIFS(Compras!$D$6:$D$605,Compras!$B$6:$B$605,$A16,Compras!$C$6:$C$605,"Chico")-SUMIFS(Ventas!$D$6:$D$605,Ventas!$B$6:$B$605,$A16,Ventas!$C$6:$C$605,"Chico"),""))</f>
        <v/>
      </c>
      <c r="F16" s="69" t="str">
        <f aca="false">IF($A16="","",IF(LEFT($C16,6)="Anillo",SUMIFS(Compras!$D$6:$D$605,Compras!$B$6:$B$605,$A16,Compras!$C$6:$C$605,"Mediano")-SUMIFS(Ventas!$D$6:$D$605,Ventas!$B$6:$B$605,$A16,Ventas!$C$6:$C$605,"Mediano"),""))</f>
        <v/>
      </c>
      <c r="G16" s="69" t="str">
        <f aca="false">IF($A16="","",IF(LEFT($C16,6)="Anillo",SUMIFS(Compras!$D$6:$D$605,Compras!$B$6:$B$605,$A16,Compras!$C$6:$C$605,"Grande")-SUMIFS(Ventas!$D$6:$D$605,Ventas!$B$6:$B$605,$A16,Ventas!$C$6:$C$605,"Grande"),""))</f>
        <v/>
      </c>
      <c r="H16" s="69" t="n">
        <f aca="false">IF($A16="","",N($D16)+N($E16)+N($F16)+N($G16))</f>
        <v>0</v>
      </c>
      <c r="I16" s="70" t="str">
        <f aca="false">IF($A16="","",IF(N($H16)&lt;=0,"SIN STOCK",IF(LEFT($C16,6)="Anillo",IF(IF(AND(SUMIFS(Compras!$D$6:$D$605,Compras!$B$6:$B$605,$A16,Compras!$C$6:$C$605,"Chico")&gt;0,N($E16)&lt;=$B$5),"C ","")&amp;IF(AND(SUMIFS(Compras!$D$6:$D$605,Compras!$B$6:$B$605,$A16,Compras!$C$6:$C$605,"Mediano")&gt;0,N($F16)&lt;=$B$5),"M ","")&amp;IF(AND(SUMIFS(Compras!$D$6:$D$605,Compras!$B$6:$B$605,$A16,Compras!$C$6:$C$605,"Grande")&gt;0,N($G16)&lt;=$B$5),"G","")="","","Reponer "&amp;IF(AND(SUMIFS(Compras!$D$6:$D$605,Compras!$B$6:$B$605,$A16,Compras!$C$6:$C$605,"Chico")&gt;0,N($E16)&lt;=$B$5),"C ","")&amp;IF(AND(SUMIFS(Compras!$D$6:$D$605,Compras!$B$6:$B$605,$A16,Compras!$C$6:$C$605,"Mediano")&gt;0,N($F16)&lt;=$B$5),"M ","")&amp;IF(AND(SUMIFS(Compras!$D$6:$D$605,Compras!$B$6:$B$605,$A16,Compras!$C$6:$C$605,"Grande")&gt;0,N($G16)&lt;=$B$5),"G","")),IF(N($H16)&lt;=$B$5,"REPONER",""))))</f>
        <v>SIN STOCK</v>
      </c>
      <c r="J16" s="69" t="n">
        <f aca="false">IF($A16="","",SUMIFS(Ventas!$D$6:$D$605,Ventas!$B$6:$B$605,$A16))</f>
        <v>1</v>
      </c>
      <c r="K16" s="45" t="n">
        <f aca="false">IF($A16="","",SUMIFS(Ventas!$F$6:$F$605,Ventas!$B$6:$B$605,$A16))</f>
        <v>12500</v>
      </c>
    </row>
    <row r="17" customFormat="false" ht="15" hidden="false" customHeight="false" outlineLevel="0" collapsed="false">
      <c r="A17" s="67" t="str">
        <f aca="false">IF(Costos!$A31="","",Costos!$A31)</f>
        <v>Argollitas Marco  Docha</v>
      </c>
      <c r="B17" s="68" t="str">
        <f aca="false">IF(Costos!$A31="","",Costos!$B31&amp;"")</f>
        <v>Plata 925</v>
      </c>
      <c r="C17" s="68" t="str">
        <f aca="false">IF(Costos!$A31="","",Costos!$C31&amp;"")</f>
        <v>Aros</v>
      </c>
      <c r="D17" s="69" t="n">
        <f aca="false">IF($A17="","",SUMIFS(Compras!$D$6:$D$605,Compras!$B$6:$B$605,$A17,Compras!$C$6:$C$605,"Único")-SUMIFS(Ventas!$D$6:$D$605,Ventas!$B$6:$B$605,$A17,Ventas!$C$6:$C$605,"Único"))</f>
        <v>0</v>
      </c>
      <c r="E17" s="69" t="str">
        <f aca="false">IF($A17="","",IF(LEFT($C17,6)="Anillo",SUMIFS(Compras!$D$6:$D$605,Compras!$B$6:$B$605,$A17,Compras!$C$6:$C$605,"Chico")-SUMIFS(Ventas!$D$6:$D$605,Ventas!$B$6:$B$605,$A17,Ventas!$C$6:$C$605,"Chico"),""))</f>
        <v/>
      </c>
      <c r="F17" s="69" t="str">
        <f aca="false">IF($A17="","",IF(LEFT($C17,6)="Anillo",SUMIFS(Compras!$D$6:$D$605,Compras!$B$6:$B$605,$A17,Compras!$C$6:$C$605,"Mediano")-SUMIFS(Ventas!$D$6:$D$605,Ventas!$B$6:$B$605,$A17,Ventas!$C$6:$C$605,"Mediano"),""))</f>
        <v/>
      </c>
      <c r="G17" s="69" t="str">
        <f aca="false">IF($A17="","",IF(LEFT($C17,6)="Anillo",SUMIFS(Compras!$D$6:$D$605,Compras!$B$6:$B$605,$A17,Compras!$C$6:$C$605,"Grande")-SUMIFS(Ventas!$D$6:$D$605,Ventas!$B$6:$B$605,$A17,Ventas!$C$6:$C$605,"Grande"),""))</f>
        <v/>
      </c>
      <c r="H17" s="69" t="n">
        <f aca="false">IF($A17="","",N($D17)+N($E17)+N($F17)+N($G17))</f>
        <v>0</v>
      </c>
      <c r="I17" s="70" t="str">
        <f aca="false">IF($A17="","",IF(N($H17)&lt;=0,"SIN STOCK",IF(LEFT($C17,6)="Anillo",IF(IF(AND(SUMIFS(Compras!$D$6:$D$605,Compras!$B$6:$B$605,$A17,Compras!$C$6:$C$605,"Chico")&gt;0,N($E17)&lt;=$B$5),"C ","")&amp;IF(AND(SUMIFS(Compras!$D$6:$D$605,Compras!$B$6:$B$605,$A17,Compras!$C$6:$C$605,"Mediano")&gt;0,N($F17)&lt;=$B$5),"M ","")&amp;IF(AND(SUMIFS(Compras!$D$6:$D$605,Compras!$B$6:$B$605,$A17,Compras!$C$6:$C$605,"Grande")&gt;0,N($G17)&lt;=$B$5),"G","")="","","Reponer "&amp;IF(AND(SUMIFS(Compras!$D$6:$D$605,Compras!$B$6:$B$605,$A17,Compras!$C$6:$C$605,"Chico")&gt;0,N($E17)&lt;=$B$5),"C ","")&amp;IF(AND(SUMIFS(Compras!$D$6:$D$605,Compras!$B$6:$B$605,$A17,Compras!$C$6:$C$605,"Mediano")&gt;0,N($F17)&lt;=$B$5),"M ","")&amp;IF(AND(SUMIFS(Compras!$D$6:$D$605,Compras!$B$6:$B$605,$A17,Compras!$C$6:$C$605,"Grande")&gt;0,N($G17)&lt;=$B$5),"G","")),IF(N($H17)&lt;=$B$5,"REPONER",""))))</f>
        <v>SIN STOCK</v>
      </c>
      <c r="J17" s="69" t="n">
        <f aca="false">IF($A17="","",SUMIFS(Ventas!$D$6:$D$605,Ventas!$B$6:$B$605,$A17))</f>
        <v>1</v>
      </c>
      <c r="K17" s="45" t="n">
        <f aca="false">IF($A17="","",SUMIFS(Ventas!$F$6:$F$605,Ventas!$B$6:$B$605,$A17))</f>
        <v>25000</v>
      </c>
    </row>
    <row r="18" customFormat="false" ht="15" hidden="false" customHeight="false" outlineLevel="0" collapsed="false">
      <c r="A18" s="67" t="str">
        <f aca="false">IF(Costos!$A32="","",Costos!$A32)</f>
        <v>Anillo Circulo</v>
      </c>
      <c r="B18" s="68" t="str">
        <f aca="false">IF(Costos!$A32="","",Costos!$B32&amp;"")</f>
        <v>Plata 925</v>
      </c>
      <c r="C18" s="68" t="str">
        <f aca="false">IF(Costos!$A32="","",Costos!$C32&amp;"")</f>
        <v>Anillo</v>
      </c>
      <c r="D18" s="69" t="n">
        <f aca="false">IF($A18="","",SUMIFS(Compras!$D$6:$D$605,Compras!$B$6:$B$605,$A18,Compras!$C$6:$C$605,"Único")-SUMIFS(Ventas!$D$6:$D$605,Ventas!$B$6:$B$605,$A18,Ventas!$C$6:$C$605,"Único"))</f>
        <v>0</v>
      </c>
      <c r="E18" s="69" t="n">
        <f aca="false">IF($A18="","",IF(LEFT($C18,6)="Anillo",SUMIFS(Compras!$D$6:$D$605,Compras!$B$6:$B$605,$A18,Compras!$C$6:$C$605,"Chico")-SUMIFS(Ventas!$D$6:$D$605,Ventas!$B$6:$B$605,$A18,Ventas!$C$6:$C$605,"Chico"),""))</f>
        <v>0</v>
      </c>
      <c r="F18" s="69" t="n">
        <f aca="false">IF($A18="","",IF(LEFT($C18,6)="Anillo",SUMIFS(Compras!$D$6:$D$605,Compras!$B$6:$B$605,$A18,Compras!$C$6:$C$605,"Mediano")-SUMIFS(Ventas!$D$6:$D$605,Ventas!$B$6:$B$605,$A18,Ventas!$C$6:$C$605,"Mediano"),""))</f>
        <v>0</v>
      </c>
      <c r="G18" s="69" t="n">
        <f aca="false">IF($A18="","",IF(LEFT($C18,6)="Anillo",SUMIFS(Compras!$D$6:$D$605,Compras!$B$6:$B$605,$A18,Compras!$C$6:$C$605,"Grande")-SUMIFS(Ventas!$D$6:$D$605,Ventas!$B$6:$B$605,$A18,Ventas!$C$6:$C$605,"Grande"),""))</f>
        <v>0</v>
      </c>
      <c r="H18" s="69" t="n">
        <f aca="false">IF($A18="","",N($D18)+N($E18)+N($F18)+N($G18))</f>
        <v>0</v>
      </c>
      <c r="I18" s="70" t="str">
        <f aca="false">IF($A18="","",IF(N($H18)&lt;=0,"SIN STOCK",IF(LEFT($C18,6)="Anillo",IF(IF(AND(SUMIFS(Compras!$D$6:$D$605,Compras!$B$6:$B$605,$A18,Compras!$C$6:$C$605,"Chico")&gt;0,N($E18)&lt;=$B$5),"C ","")&amp;IF(AND(SUMIFS(Compras!$D$6:$D$605,Compras!$B$6:$B$605,$A18,Compras!$C$6:$C$605,"Mediano")&gt;0,N($F18)&lt;=$B$5),"M ","")&amp;IF(AND(SUMIFS(Compras!$D$6:$D$605,Compras!$B$6:$B$605,$A18,Compras!$C$6:$C$605,"Grande")&gt;0,N($G18)&lt;=$B$5),"G","")="","","Reponer "&amp;IF(AND(SUMIFS(Compras!$D$6:$D$605,Compras!$B$6:$B$605,$A18,Compras!$C$6:$C$605,"Chico")&gt;0,N($E18)&lt;=$B$5),"C ","")&amp;IF(AND(SUMIFS(Compras!$D$6:$D$605,Compras!$B$6:$B$605,$A18,Compras!$C$6:$C$605,"Mediano")&gt;0,N($F18)&lt;=$B$5),"M ","")&amp;IF(AND(SUMIFS(Compras!$D$6:$D$605,Compras!$B$6:$B$605,$A18,Compras!$C$6:$C$605,"Grande")&gt;0,N($G18)&lt;=$B$5),"G","")),IF(N($H18)&lt;=$B$5,"REPONER",""))))</f>
        <v>SIN STOCK</v>
      </c>
      <c r="J18" s="69" t="n">
        <f aca="false">IF($A18="","",SUMIFS(Ventas!$D$6:$D$605,Ventas!$B$6:$B$605,$A18))</f>
        <v>2</v>
      </c>
      <c r="K18" s="45" t="n">
        <f aca="false">IF($A18="","",SUMIFS(Ventas!$F$6:$F$605,Ventas!$B$6:$B$605,$A18))</f>
        <v>32000</v>
      </c>
    </row>
    <row r="19" customFormat="false" ht="15" hidden="false" customHeight="false" outlineLevel="0" collapsed="false">
      <c r="A19" s="67" t="str">
        <f aca="false">IF(Costos!$A33="","",Costos!$A33)</f>
        <v>Anillo Gota</v>
      </c>
      <c r="B19" s="68" t="str">
        <f aca="false">IF(Costos!$A33="","",Costos!$B33&amp;"")</f>
        <v>Plata 925</v>
      </c>
      <c r="C19" s="68" t="str">
        <f aca="false">IF(Costos!$A33="","",Costos!$C33&amp;"")</f>
        <v>Anillo</v>
      </c>
      <c r="D19" s="69" t="n">
        <f aca="false">IF($A19="","",SUMIFS(Compras!$D$6:$D$605,Compras!$B$6:$B$605,$A19,Compras!$C$6:$C$605,"Único")-SUMIFS(Ventas!$D$6:$D$605,Ventas!$B$6:$B$605,$A19,Ventas!$C$6:$C$605,"Único"))</f>
        <v>0</v>
      </c>
      <c r="E19" s="69" t="n">
        <f aca="false">IF($A19="","",IF(LEFT($C19,6)="Anillo",SUMIFS(Compras!$D$6:$D$605,Compras!$B$6:$B$605,$A19,Compras!$C$6:$C$605,"Chico")-SUMIFS(Ventas!$D$6:$D$605,Ventas!$B$6:$B$605,$A19,Ventas!$C$6:$C$605,"Chico"),""))</f>
        <v>0</v>
      </c>
      <c r="F19" s="69" t="n">
        <f aca="false">IF($A19="","",IF(LEFT($C19,6)="Anillo",SUMIFS(Compras!$D$6:$D$605,Compras!$B$6:$B$605,$A19,Compras!$C$6:$C$605,"Mediano")-SUMIFS(Ventas!$D$6:$D$605,Ventas!$B$6:$B$605,$A19,Ventas!$C$6:$C$605,"Mediano"),""))</f>
        <v>0</v>
      </c>
      <c r="G19" s="69" t="n">
        <f aca="false">IF($A19="","",IF(LEFT($C19,6)="Anillo",SUMIFS(Compras!$D$6:$D$605,Compras!$B$6:$B$605,$A19,Compras!$C$6:$C$605,"Grande")-SUMIFS(Ventas!$D$6:$D$605,Ventas!$B$6:$B$605,$A19,Ventas!$C$6:$C$605,"Grande"),""))</f>
        <v>0</v>
      </c>
      <c r="H19" s="69" t="n">
        <f aca="false">IF($A19="","",N($D19)+N($E19)+N($F19)+N($G19))</f>
        <v>0</v>
      </c>
      <c r="I19" s="70" t="str">
        <f aca="false">IF($A19="","",IF(N($H19)&lt;=0,"SIN STOCK",IF(LEFT($C19,6)="Anillo",IF(IF(AND(SUMIFS(Compras!$D$6:$D$605,Compras!$B$6:$B$605,$A19,Compras!$C$6:$C$605,"Chico")&gt;0,N($E19)&lt;=$B$5),"C ","")&amp;IF(AND(SUMIFS(Compras!$D$6:$D$605,Compras!$B$6:$B$605,$A19,Compras!$C$6:$C$605,"Mediano")&gt;0,N($F19)&lt;=$B$5),"M ","")&amp;IF(AND(SUMIFS(Compras!$D$6:$D$605,Compras!$B$6:$B$605,$A19,Compras!$C$6:$C$605,"Grande")&gt;0,N($G19)&lt;=$B$5),"G","")="","","Reponer "&amp;IF(AND(SUMIFS(Compras!$D$6:$D$605,Compras!$B$6:$B$605,$A19,Compras!$C$6:$C$605,"Chico")&gt;0,N($E19)&lt;=$B$5),"C ","")&amp;IF(AND(SUMIFS(Compras!$D$6:$D$605,Compras!$B$6:$B$605,$A19,Compras!$C$6:$C$605,"Mediano")&gt;0,N($F19)&lt;=$B$5),"M ","")&amp;IF(AND(SUMIFS(Compras!$D$6:$D$605,Compras!$B$6:$B$605,$A19,Compras!$C$6:$C$605,"Grande")&gt;0,N($G19)&lt;=$B$5),"G","")),IF(N($H19)&lt;=$B$5,"REPONER",""))))</f>
        <v>SIN STOCK</v>
      </c>
      <c r="J19" s="69" t="n">
        <f aca="false">IF($A19="","",SUMIFS(Ventas!$D$6:$D$605,Ventas!$B$6:$B$605,$A19))</f>
        <v>1</v>
      </c>
      <c r="K19" s="45" t="n">
        <f aca="false">IF($A19="","",SUMIFS(Ventas!$F$6:$F$605,Ventas!$B$6:$B$605,$A19))</f>
        <v>23000</v>
      </c>
    </row>
    <row r="20" customFormat="false" ht="15" hidden="false" customHeight="false" outlineLevel="0" collapsed="false">
      <c r="A20" s="67" t="str">
        <f aca="false">IF(Costos!$A34="","",Costos!$A34)</f>
        <v>Anillo Vera Docha</v>
      </c>
      <c r="B20" s="68" t="str">
        <f aca="false">IF(Costos!$A34="","",Costos!$B34&amp;"")</f>
        <v>Plata 925</v>
      </c>
      <c r="C20" s="68" t="str">
        <f aca="false">IF(Costos!$A34="","",Costos!$C34&amp;"")</f>
        <v>Anillo</v>
      </c>
      <c r="D20" s="69" t="n">
        <f aca="false">IF($A20="","",SUMIFS(Compras!$D$6:$D$605,Compras!$B$6:$B$605,$A20,Compras!$C$6:$C$605,"Único")-SUMIFS(Ventas!$D$6:$D$605,Ventas!$B$6:$B$605,$A20,Ventas!$C$6:$C$605,"Único"))</f>
        <v>0</v>
      </c>
      <c r="E20" s="69" t="n">
        <f aca="false">IF($A20="","",IF(LEFT($C20,6)="Anillo",SUMIFS(Compras!$D$6:$D$605,Compras!$B$6:$B$605,$A20,Compras!$C$6:$C$605,"Chico")-SUMIFS(Ventas!$D$6:$D$605,Ventas!$B$6:$B$605,$A20,Ventas!$C$6:$C$605,"Chico"),""))</f>
        <v>0</v>
      </c>
      <c r="F20" s="69" t="n">
        <f aca="false">IF($A20="","",IF(LEFT($C20,6)="Anillo",SUMIFS(Compras!$D$6:$D$605,Compras!$B$6:$B$605,$A20,Compras!$C$6:$C$605,"Mediano")-SUMIFS(Ventas!$D$6:$D$605,Ventas!$B$6:$B$605,$A20,Ventas!$C$6:$C$605,"Mediano"),""))</f>
        <v>0</v>
      </c>
      <c r="G20" s="69" t="n">
        <f aca="false">IF($A20="","",IF(LEFT($C20,6)="Anillo",SUMIFS(Compras!$D$6:$D$605,Compras!$B$6:$B$605,$A20,Compras!$C$6:$C$605,"Grande")-SUMIFS(Ventas!$D$6:$D$605,Ventas!$B$6:$B$605,$A20,Ventas!$C$6:$C$605,"Grande"),""))</f>
        <v>1</v>
      </c>
      <c r="H20" s="69" t="n">
        <f aca="false">IF($A20="","",N($D20)+N($E20)+N($F20)+N($G20))</f>
        <v>1</v>
      </c>
      <c r="I20" s="70" t="str">
        <f aca="false">IF($A20="","",IF(N($H20)&lt;=0,"SIN STOCK",IF(LEFT($C20,6)="Anillo",IF(IF(AND(SUMIFS(Compras!$D$6:$D$605,Compras!$B$6:$B$605,$A20,Compras!$C$6:$C$605,"Chico")&gt;0,N($E20)&lt;=$B$5),"C ","")&amp;IF(AND(SUMIFS(Compras!$D$6:$D$605,Compras!$B$6:$B$605,$A20,Compras!$C$6:$C$605,"Mediano")&gt;0,N($F20)&lt;=$B$5),"M ","")&amp;IF(AND(SUMIFS(Compras!$D$6:$D$605,Compras!$B$6:$B$605,$A20,Compras!$C$6:$C$605,"Grande")&gt;0,N($G20)&lt;=$B$5),"G","")="","","Reponer "&amp;IF(AND(SUMIFS(Compras!$D$6:$D$605,Compras!$B$6:$B$605,$A20,Compras!$C$6:$C$605,"Chico")&gt;0,N($E20)&lt;=$B$5),"C ","")&amp;IF(AND(SUMIFS(Compras!$D$6:$D$605,Compras!$B$6:$B$605,$A20,Compras!$C$6:$C$605,"Mediano")&gt;0,N($F20)&lt;=$B$5),"M ","")&amp;IF(AND(SUMIFS(Compras!$D$6:$D$605,Compras!$B$6:$B$605,$A20,Compras!$C$6:$C$605,"Grande")&gt;0,N($G20)&lt;=$B$5),"G","")),IF(N($H20)&lt;=$B$5,"REPONER",""))))</f>
        <v>Reponer G</v>
      </c>
      <c r="J20" s="69" t="n">
        <f aca="false">IF($A20="","",SUMIFS(Ventas!$D$6:$D$605,Ventas!$B$6:$B$605,$A20))</f>
        <v>0</v>
      </c>
      <c r="K20" s="45" t="n">
        <f aca="false">IF($A20="","",SUMIFS(Ventas!$F$6:$F$605,Ventas!$B$6:$B$605,$A20))</f>
        <v>0</v>
      </c>
    </row>
    <row r="21" customFormat="false" ht="15.75" hidden="false" customHeight="true" outlineLevel="0" collapsed="false">
      <c r="A21" s="67" t="str">
        <f aca="false">IF(Costos!$A35="","",Costos!$A35)</f>
        <v>Anillo Calado </v>
      </c>
      <c r="B21" s="68" t="str">
        <f aca="false">IF(Costos!$A35="","",Costos!$B35&amp;"")</f>
        <v>Plata 925</v>
      </c>
      <c r="C21" s="68" t="str">
        <f aca="false">IF(Costos!$A35="","",Costos!$C35&amp;"")</f>
        <v>Anillo</v>
      </c>
      <c r="D21" s="69" t="n">
        <f aca="false">IF($A21="","",SUMIFS(Compras!$D$6:$D$605,Compras!$B$6:$B$605,$A21,Compras!$C$6:$C$605,"Único")-SUMIFS(Ventas!$D$6:$D$605,Ventas!$B$6:$B$605,$A21,Ventas!$C$6:$C$605,"Único"))</f>
        <v>0</v>
      </c>
      <c r="E21" s="69" t="n">
        <f aca="false">IF($A21="","",IF(LEFT($C21,6)="Anillo",SUMIFS(Compras!$D$6:$D$605,Compras!$B$6:$B$605,$A21,Compras!$C$6:$C$605,"Chico")-SUMIFS(Ventas!$D$6:$D$605,Ventas!$B$6:$B$605,$A21,Ventas!$C$6:$C$605,"Chico"),""))</f>
        <v>0</v>
      </c>
      <c r="F21" s="69" t="n">
        <f aca="false">IF($A21="","",IF(LEFT($C21,6)="Anillo",SUMIFS(Compras!$D$6:$D$605,Compras!$B$6:$B$605,$A21,Compras!$C$6:$C$605,"Mediano")-SUMIFS(Ventas!$D$6:$D$605,Ventas!$B$6:$B$605,$A21,Ventas!$C$6:$C$605,"Mediano"),""))</f>
        <v>0</v>
      </c>
      <c r="G21" s="69" t="n">
        <f aca="false">IF($A21="","",IF(LEFT($C21,6)="Anillo",SUMIFS(Compras!$D$6:$D$605,Compras!$B$6:$B$605,$A21,Compras!$C$6:$C$605,"Grande")-SUMIFS(Ventas!$D$6:$D$605,Ventas!$B$6:$B$605,$A21,Ventas!$C$6:$C$605,"Grande"),""))</f>
        <v>0</v>
      </c>
      <c r="H21" s="69" t="n">
        <f aca="false">IF($A21="","",N($D21)+N($E21)+N($F21)+N($G21))</f>
        <v>0</v>
      </c>
      <c r="I21" s="70" t="str">
        <f aca="false">IF($A21="","",IF(N($H21)&lt;=0,"SIN STOCK",IF(LEFT($C21,6)="Anillo",IF(IF(AND(SUMIFS(Compras!$D$6:$D$605,Compras!$B$6:$B$605,$A21,Compras!$C$6:$C$605,"Chico")&gt;0,N($E21)&lt;=$B$5),"C ","")&amp;IF(AND(SUMIFS(Compras!$D$6:$D$605,Compras!$B$6:$B$605,$A21,Compras!$C$6:$C$605,"Mediano")&gt;0,N($F21)&lt;=$B$5),"M ","")&amp;IF(AND(SUMIFS(Compras!$D$6:$D$605,Compras!$B$6:$B$605,$A21,Compras!$C$6:$C$605,"Grande")&gt;0,N($G21)&lt;=$B$5),"G","")="","","Reponer "&amp;IF(AND(SUMIFS(Compras!$D$6:$D$605,Compras!$B$6:$B$605,$A21,Compras!$C$6:$C$605,"Chico")&gt;0,N($E21)&lt;=$B$5),"C ","")&amp;IF(AND(SUMIFS(Compras!$D$6:$D$605,Compras!$B$6:$B$605,$A21,Compras!$C$6:$C$605,"Mediano")&gt;0,N($F21)&lt;=$B$5),"M ","")&amp;IF(AND(SUMIFS(Compras!$D$6:$D$605,Compras!$B$6:$B$605,$A21,Compras!$C$6:$C$605,"Grande")&gt;0,N($G21)&lt;=$B$5),"G","")),IF(N($H21)&lt;=$B$5,"REPONER",""))))</f>
        <v>SIN STOCK</v>
      </c>
      <c r="J21" s="69" t="n">
        <f aca="false">IF($A21="","",SUMIFS(Ventas!$D$6:$D$605,Ventas!$B$6:$B$605,$A21))</f>
        <v>2</v>
      </c>
      <c r="K21" s="45" t="n">
        <f aca="false">IF($A21="","",SUMIFS(Ventas!$F$6:$F$605,Ventas!$B$6:$B$605,$A21))</f>
        <v>38000</v>
      </c>
    </row>
    <row r="22" customFormat="false" ht="15.75" hidden="false" customHeight="true" outlineLevel="0" collapsed="false">
      <c r="A22" s="67" t="str">
        <f aca="false">IF(Costos!$A36="","",Costos!$A36)</f>
        <v>Cadena eslabon </v>
      </c>
      <c r="B22" s="68" t="str">
        <f aca="false">IF(Costos!$A36="","",Costos!$B36&amp;"")</f>
        <v>Acero blanco</v>
      </c>
      <c r="C22" s="68" t="str">
        <f aca="false">IF(Costos!$A36="","",Costos!$C36&amp;"")</f>
        <v>Collar</v>
      </c>
      <c r="D22" s="69" t="n">
        <f aca="false">IF($A22="","",SUMIFS(Compras!$D$6:$D$605,Compras!$B$6:$B$605,$A22,Compras!$C$6:$C$605,"Único")-SUMIFS(Ventas!$D$6:$D$605,Ventas!$B$6:$B$605,$A22,Ventas!$C$6:$C$605,"Único"))</f>
        <v>2</v>
      </c>
      <c r="E22" s="69" t="str">
        <f aca="false">IF($A22="","",IF(LEFT($C22,6)="Anillo",SUMIFS(Compras!$D$6:$D$605,Compras!$B$6:$B$605,$A22,Compras!$C$6:$C$605,"Chico")-SUMIFS(Ventas!$D$6:$D$605,Ventas!$B$6:$B$605,$A22,Ventas!$C$6:$C$605,"Chico"),""))</f>
        <v/>
      </c>
      <c r="F22" s="69" t="str">
        <f aca="false">IF($A22="","",IF(LEFT($C22,6)="Anillo",SUMIFS(Compras!$D$6:$D$605,Compras!$B$6:$B$605,$A22,Compras!$C$6:$C$605,"Mediano")-SUMIFS(Ventas!$D$6:$D$605,Ventas!$B$6:$B$605,$A22,Ventas!$C$6:$C$605,"Mediano"),""))</f>
        <v/>
      </c>
      <c r="G22" s="69" t="str">
        <f aca="false">IF($A22="","",IF(LEFT($C22,6)="Anillo",SUMIFS(Compras!$D$6:$D$605,Compras!$B$6:$B$605,$A22,Compras!$C$6:$C$605,"Grande")-SUMIFS(Ventas!$D$6:$D$605,Ventas!$B$6:$B$605,$A22,Ventas!$C$6:$C$605,"Grande"),""))</f>
        <v/>
      </c>
      <c r="H22" s="69" t="n">
        <f aca="false">IF($A22="","",N($D22)+N($E22)+N($F22)+N($G22))</f>
        <v>2</v>
      </c>
      <c r="I22" s="70" t="str">
        <f aca="false">IF($A22="","",IF(N($H22)&lt;=0,"SIN STOCK",IF(LEFT($C22,6)="Anillo",IF(IF(AND(SUMIFS(Compras!$D$6:$D$605,Compras!$B$6:$B$605,$A22,Compras!$C$6:$C$605,"Chico")&gt;0,N($E22)&lt;=$B$5),"C ","")&amp;IF(AND(SUMIFS(Compras!$D$6:$D$605,Compras!$B$6:$B$605,$A22,Compras!$C$6:$C$605,"Mediano")&gt;0,N($F22)&lt;=$B$5),"M ","")&amp;IF(AND(SUMIFS(Compras!$D$6:$D$605,Compras!$B$6:$B$605,$A22,Compras!$C$6:$C$605,"Grande")&gt;0,N($G22)&lt;=$B$5),"G","")="","","Reponer "&amp;IF(AND(SUMIFS(Compras!$D$6:$D$605,Compras!$B$6:$B$605,$A22,Compras!$C$6:$C$605,"Chico")&gt;0,N($E22)&lt;=$B$5),"C ","")&amp;IF(AND(SUMIFS(Compras!$D$6:$D$605,Compras!$B$6:$B$605,$A22,Compras!$C$6:$C$605,"Mediano")&gt;0,N($F22)&lt;=$B$5),"M ","")&amp;IF(AND(SUMIFS(Compras!$D$6:$D$605,Compras!$B$6:$B$605,$A22,Compras!$C$6:$C$605,"Grande")&gt;0,N($G22)&lt;=$B$5),"G","")),IF(N($H22)&lt;=$B$5,"REPONER",""))))</f>
        <v/>
      </c>
      <c r="J22" s="69" t="n">
        <f aca="false">IF($A22="","",SUMIFS(Ventas!$D$6:$D$605,Ventas!$B$6:$B$605,$A22))</f>
        <v>0</v>
      </c>
      <c r="K22" s="45" t="n">
        <f aca="false">IF($A22="","",SUMIFS(Ventas!$F$6:$F$605,Ventas!$B$6:$B$605,$A22))</f>
        <v>0</v>
      </c>
    </row>
    <row r="23" customFormat="false" ht="15.75" hidden="false" customHeight="true" outlineLevel="0" collapsed="false">
      <c r="A23" s="67" t="str">
        <f aca="false">IF(Costos!$A37="","",Costos!$A37)</f>
        <v>Cadena lisa</v>
      </c>
      <c r="B23" s="68" t="str">
        <f aca="false">IF(Costos!$A37="","",Costos!$B37&amp;"")</f>
        <v>Acero blanco</v>
      </c>
      <c r="C23" s="68" t="str">
        <f aca="false">IF(Costos!$A37="","",Costos!$C37&amp;"")</f>
        <v>Collar</v>
      </c>
      <c r="D23" s="69" t="n">
        <f aca="false">IF($A23="","",SUMIFS(Compras!$D$6:$D$605,Compras!$B$6:$B$605,$A23,Compras!$C$6:$C$605,"Único")-SUMIFS(Ventas!$D$6:$D$605,Ventas!$B$6:$B$605,$A23,Ventas!$C$6:$C$605,"Único"))</f>
        <v>0</v>
      </c>
      <c r="E23" s="69" t="str">
        <f aca="false">IF($A23="","",IF(LEFT($C23,6)="Anillo",SUMIFS(Compras!$D$6:$D$605,Compras!$B$6:$B$605,$A23,Compras!$C$6:$C$605,"Chico")-SUMIFS(Ventas!$D$6:$D$605,Ventas!$B$6:$B$605,$A23,Ventas!$C$6:$C$605,"Chico"),""))</f>
        <v/>
      </c>
      <c r="F23" s="69" t="str">
        <f aca="false">IF($A23="","",IF(LEFT($C23,6)="Anillo",SUMIFS(Compras!$D$6:$D$605,Compras!$B$6:$B$605,$A23,Compras!$C$6:$C$605,"Mediano")-SUMIFS(Ventas!$D$6:$D$605,Ventas!$B$6:$B$605,$A23,Ventas!$C$6:$C$605,"Mediano"),""))</f>
        <v/>
      </c>
      <c r="G23" s="69" t="str">
        <f aca="false">IF($A23="","",IF(LEFT($C23,6)="Anillo",SUMIFS(Compras!$D$6:$D$605,Compras!$B$6:$B$605,$A23,Compras!$C$6:$C$605,"Grande")-SUMIFS(Ventas!$D$6:$D$605,Ventas!$B$6:$B$605,$A23,Ventas!$C$6:$C$605,"Grande"),""))</f>
        <v/>
      </c>
      <c r="H23" s="69" t="n">
        <f aca="false">IF($A23="","",N($D23)+N($E23)+N($F23)+N($G23))</f>
        <v>0</v>
      </c>
      <c r="I23" s="70" t="str">
        <f aca="false">IF($A23="","",IF(N($H23)&lt;=0,"SIN STOCK",IF(LEFT($C23,6)="Anillo",IF(IF(AND(SUMIFS(Compras!$D$6:$D$605,Compras!$B$6:$B$605,$A23,Compras!$C$6:$C$605,"Chico")&gt;0,N($E23)&lt;=$B$5),"C ","")&amp;IF(AND(SUMIFS(Compras!$D$6:$D$605,Compras!$B$6:$B$605,$A23,Compras!$C$6:$C$605,"Mediano")&gt;0,N($F23)&lt;=$B$5),"M ","")&amp;IF(AND(SUMIFS(Compras!$D$6:$D$605,Compras!$B$6:$B$605,$A23,Compras!$C$6:$C$605,"Grande")&gt;0,N($G23)&lt;=$B$5),"G","")="","","Reponer "&amp;IF(AND(SUMIFS(Compras!$D$6:$D$605,Compras!$B$6:$B$605,$A23,Compras!$C$6:$C$605,"Chico")&gt;0,N($E23)&lt;=$B$5),"C ","")&amp;IF(AND(SUMIFS(Compras!$D$6:$D$605,Compras!$B$6:$B$605,$A23,Compras!$C$6:$C$605,"Mediano")&gt;0,N($F23)&lt;=$B$5),"M ","")&amp;IF(AND(SUMIFS(Compras!$D$6:$D$605,Compras!$B$6:$B$605,$A23,Compras!$C$6:$C$605,"Grande")&gt;0,N($G23)&lt;=$B$5),"G","")),IF(N($H23)&lt;=$B$5,"REPONER",""))))</f>
        <v>SIN STOCK</v>
      </c>
      <c r="J23" s="69" t="n">
        <f aca="false">IF($A23="","",SUMIFS(Ventas!$D$6:$D$605,Ventas!$B$6:$B$605,$A23))</f>
        <v>2</v>
      </c>
      <c r="K23" s="45" t="n">
        <f aca="false">IF($A23="","",SUMIFS(Ventas!$F$6:$F$605,Ventas!$B$6:$B$605,$A23))</f>
        <v>14000</v>
      </c>
    </row>
    <row r="24" customFormat="false" ht="15.75" hidden="false" customHeight="true" outlineLevel="0" collapsed="false">
      <c r="A24" s="67" t="str">
        <f aca="false">IF(Costos!$A38="","",Costos!$A38)</f>
        <v>Argollitas gota </v>
      </c>
      <c r="B24" s="68" t="str">
        <f aca="false">IF(Costos!$A38="","",Costos!$B38&amp;"")</f>
        <v>Acero blanco</v>
      </c>
      <c r="C24" s="68" t="str">
        <f aca="false">IF(Costos!$A38="","",Costos!$C38&amp;"")</f>
        <v>Aros</v>
      </c>
      <c r="D24" s="69" t="n">
        <f aca="false">IF($A24="","",SUMIFS(Compras!$D$6:$D$605,Compras!$B$6:$B$605,$A24,Compras!$C$6:$C$605,"Único")-SUMIFS(Ventas!$D$6:$D$605,Ventas!$B$6:$B$605,$A24,Ventas!$C$6:$C$605,"Único"))</f>
        <v>0</v>
      </c>
      <c r="E24" s="69" t="str">
        <f aca="false">IF($A24="","",IF(LEFT($C24,6)="Anillo",SUMIFS(Compras!$D$6:$D$605,Compras!$B$6:$B$605,$A24,Compras!$C$6:$C$605,"Chico")-SUMIFS(Ventas!$D$6:$D$605,Ventas!$B$6:$B$605,$A24,Ventas!$C$6:$C$605,"Chico"),""))</f>
        <v/>
      </c>
      <c r="F24" s="69" t="str">
        <f aca="false">IF($A24="","",IF(LEFT($C24,6)="Anillo",SUMIFS(Compras!$D$6:$D$605,Compras!$B$6:$B$605,$A24,Compras!$C$6:$C$605,"Mediano")-SUMIFS(Ventas!$D$6:$D$605,Ventas!$B$6:$B$605,$A24,Ventas!$C$6:$C$605,"Mediano"),""))</f>
        <v/>
      </c>
      <c r="G24" s="69" t="str">
        <f aca="false">IF($A24="","",IF(LEFT($C24,6)="Anillo",SUMIFS(Compras!$D$6:$D$605,Compras!$B$6:$B$605,$A24,Compras!$C$6:$C$605,"Grande")-SUMIFS(Ventas!$D$6:$D$605,Ventas!$B$6:$B$605,$A24,Ventas!$C$6:$C$605,"Grande"),""))</f>
        <v/>
      </c>
      <c r="H24" s="69" t="n">
        <f aca="false">IF($A24="","",N($D24)+N($E24)+N($F24)+N($G24))</f>
        <v>0</v>
      </c>
      <c r="I24" s="70" t="str">
        <f aca="false">IF($A24="","",IF(N($H24)&lt;=0,"SIN STOCK",IF(LEFT($C24,6)="Anillo",IF(IF(AND(SUMIFS(Compras!$D$6:$D$605,Compras!$B$6:$B$605,$A24,Compras!$C$6:$C$605,"Chico")&gt;0,N($E24)&lt;=$B$5),"C ","")&amp;IF(AND(SUMIFS(Compras!$D$6:$D$605,Compras!$B$6:$B$605,$A24,Compras!$C$6:$C$605,"Mediano")&gt;0,N($F24)&lt;=$B$5),"M ","")&amp;IF(AND(SUMIFS(Compras!$D$6:$D$605,Compras!$B$6:$B$605,$A24,Compras!$C$6:$C$605,"Grande")&gt;0,N($G24)&lt;=$B$5),"G","")="","","Reponer "&amp;IF(AND(SUMIFS(Compras!$D$6:$D$605,Compras!$B$6:$B$605,$A24,Compras!$C$6:$C$605,"Chico")&gt;0,N($E24)&lt;=$B$5),"C ","")&amp;IF(AND(SUMIFS(Compras!$D$6:$D$605,Compras!$B$6:$B$605,$A24,Compras!$C$6:$C$605,"Mediano")&gt;0,N($F24)&lt;=$B$5),"M ","")&amp;IF(AND(SUMIFS(Compras!$D$6:$D$605,Compras!$B$6:$B$605,$A24,Compras!$C$6:$C$605,"Grande")&gt;0,N($G24)&lt;=$B$5),"G","")),IF(N($H24)&lt;=$B$5,"REPONER",""))))</f>
        <v>SIN STOCK</v>
      </c>
      <c r="J24" s="69" t="n">
        <f aca="false">IF($A24="","",SUMIFS(Ventas!$D$6:$D$605,Ventas!$B$6:$B$605,$A24))</f>
        <v>1</v>
      </c>
      <c r="K24" s="45" t="n">
        <f aca="false">IF($A24="","",SUMIFS(Ventas!$F$6:$F$605,Ventas!$B$6:$B$605,$A24))</f>
        <v>7500</v>
      </c>
    </row>
    <row r="25" customFormat="false" ht="15.75" hidden="false" customHeight="true" outlineLevel="0" collapsed="false">
      <c r="A25" s="67" t="str">
        <f aca="false">IF(Costos!$A39="","",Costos!$A39)</f>
        <v>Argollitas Caviar circulo</v>
      </c>
      <c r="B25" s="68" t="str">
        <f aca="false">IF(Costos!$A39="","",Costos!$B39&amp;"")</f>
        <v>Acero blanco</v>
      </c>
      <c r="C25" s="68" t="str">
        <f aca="false">IF(Costos!$A39="","",Costos!$C39&amp;"")</f>
        <v>Aros</v>
      </c>
      <c r="D25" s="69" t="n">
        <f aca="false">IF($A25="","",SUMIFS(Compras!$D$6:$D$605,Compras!$B$6:$B$605,$A25,Compras!$C$6:$C$605,"Único")-SUMIFS(Ventas!$D$6:$D$605,Ventas!$B$6:$B$605,$A25,Ventas!$C$6:$C$605,"Único"))</f>
        <v>1</v>
      </c>
      <c r="E25" s="69" t="str">
        <f aca="false">IF($A25="","",IF(LEFT($C25,6)="Anillo",SUMIFS(Compras!$D$6:$D$605,Compras!$B$6:$B$605,$A25,Compras!$C$6:$C$605,"Chico")-SUMIFS(Ventas!$D$6:$D$605,Ventas!$B$6:$B$605,$A25,Ventas!$C$6:$C$605,"Chico"),""))</f>
        <v/>
      </c>
      <c r="F25" s="69" t="str">
        <f aca="false">IF($A25="","",IF(LEFT($C25,6)="Anillo",SUMIFS(Compras!$D$6:$D$605,Compras!$B$6:$B$605,$A25,Compras!$C$6:$C$605,"Mediano")-SUMIFS(Ventas!$D$6:$D$605,Ventas!$B$6:$B$605,$A25,Ventas!$C$6:$C$605,"Mediano"),""))</f>
        <v/>
      </c>
      <c r="G25" s="69" t="str">
        <f aca="false">IF($A25="","",IF(LEFT($C25,6)="Anillo",SUMIFS(Compras!$D$6:$D$605,Compras!$B$6:$B$605,$A25,Compras!$C$6:$C$605,"Grande")-SUMIFS(Ventas!$D$6:$D$605,Ventas!$B$6:$B$605,$A25,Ventas!$C$6:$C$605,"Grande"),""))</f>
        <v/>
      </c>
      <c r="H25" s="69" t="n">
        <f aca="false">IF($A25="","",N($D25)+N($E25)+N($F25)+N($G25))</f>
        <v>1</v>
      </c>
      <c r="I25" s="70" t="str">
        <f aca="false">IF($A25="","",IF(N($H25)&lt;=0,"SIN STOCK",IF(LEFT($C25,6)="Anillo",IF(IF(AND(SUMIFS(Compras!$D$6:$D$605,Compras!$B$6:$B$605,$A25,Compras!$C$6:$C$605,"Chico")&gt;0,N($E25)&lt;=$B$5),"C ","")&amp;IF(AND(SUMIFS(Compras!$D$6:$D$605,Compras!$B$6:$B$605,$A25,Compras!$C$6:$C$605,"Mediano")&gt;0,N($F25)&lt;=$B$5),"M ","")&amp;IF(AND(SUMIFS(Compras!$D$6:$D$605,Compras!$B$6:$B$605,$A25,Compras!$C$6:$C$605,"Grande")&gt;0,N($G25)&lt;=$B$5),"G","")="","","Reponer "&amp;IF(AND(SUMIFS(Compras!$D$6:$D$605,Compras!$B$6:$B$605,$A25,Compras!$C$6:$C$605,"Chico")&gt;0,N($E25)&lt;=$B$5),"C ","")&amp;IF(AND(SUMIFS(Compras!$D$6:$D$605,Compras!$B$6:$B$605,$A25,Compras!$C$6:$C$605,"Mediano")&gt;0,N($F25)&lt;=$B$5),"M ","")&amp;IF(AND(SUMIFS(Compras!$D$6:$D$605,Compras!$B$6:$B$605,$A25,Compras!$C$6:$C$605,"Grande")&gt;0,N($G25)&lt;=$B$5),"G","")),IF(N($H25)&lt;=$B$5,"REPONER",""))))</f>
        <v>REPONER</v>
      </c>
      <c r="J25" s="69" t="n">
        <f aca="false">IF($A25="","",SUMIFS(Ventas!$D$6:$D$605,Ventas!$B$6:$B$605,$A25))</f>
        <v>1</v>
      </c>
      <c r="K25" s="45" t="n">
        <f aca="false">IF($A25="","",SUMIFS(Ventas!$F$6:$F$605,Ventas!$B$6:$B$605,$A25))</f>
        <v>6500</v>
      </c>
    </row>
    <row r="26" customFormat="false" ht="15.75" hidden="false" customHeight="true" outlineLevel="0" collapsed="false">
      <c r="A26" s="67" t="str">
        <f aca="false">IF(Costos!$A40="","",Costos!$A40)</f>
        <v>Argollitas Caviar triangulo</v>
      </c>
      <c r="B26" s="68" t="str">
        <f aca="false">IF(Costos!$A40="","",Costos!$B40&amp;"")</f>
        <v>Acero blanco</v>
      </c>
      <c r="C26" s="68" t="str">
        <f aca="false">IF(Costos!$A40="","",Costos!$C40&amp;"")</f>
        <v>Aros</v>
      </c>
      <c r="D26" s="69" t="n">
        <f aca="false">IF($A26="","",SUMIFS(Compras!$D$6:$D$605,Compras!$B$6:$B$605,$A26,Compras!$C$6:$C$605,"Único")-SUMIFS(Ventas!$D$6:$D$605,Ventas!$B$6:$B$605,$A26,Ventas!$C$6:$C$605,"Único"))</f>
        <v>1</v>
      </c>
      <c r="E26" s="69" t="str">
        <f aca="false">IF($A26="","",IF(LEFT($C26,6)="Anillo",SUMIFS(Compras!$D$6:$D$605,Compras!$B$6:$B$605,$A26,Compras!$C$6:$C$605,"Chico")-SUMIFS(Ventas!$D$6:$D$605,Ventas!$B$6:$B$605,$A26,Ventas!$C$6:$C$605,"Chico"),""))</f>
        <v/>
      </c>
      <c r="F26" s="69" t="str">
        <f aca="false">IF($A26="","",IF(LEFT($C26,6)="Anillo",SUMIFS(Compras!$D$6:$D$605,Compras!$B$6:$B$605,$A26,Compras!$C$6:$C$605,"Mediano")-SUMIFS(Ventas!$D$6:$D$605,Ventas!$B$6:$B$605,$A26,Ventas!$C$6:$C$605,"Mediano"),""))</f>
        <v/>
      </c>
      <c r="G26" s="69" t="str">
        <f aca="false">IF($A26="","",IF(LEFT($C26,6)="Anillo",SUMIFS(Compras!$D$6:$D$605,Compras!$B$6:$B$605,$A26,Compras!$C$6:$C$605,"Grande")-SUMIFS(Ventas!$D$6:$D$605,Ventas!$B$6:$B$605,$A26,Ventas!$C$6:$C$605,"Grande"),""))</f>
        <v/>
      </c>
      <c r="H26" s="69" t="n">
        <f aca="false">IF($A26="","",N($D26)+N($E26)+N($F26)+N($G26))</f>
        <v>1</v>
      </c>
      <c r="I26" s="70" t="str">
        <f aca="false">IF($A26="","",IF(N($H26)&lt;=0,"SIN STOCK",IF(LEFT($C26,6)="Anillo",IF(IF(AND(SUMIFS(Compras!$D$6:$D$605,Compras!$B$6:$B$605,$A26,Compras!$C$6:$C$605,"Chico")&gt;0,N($E26)&lt;=$B$5),"C ","")&amp;IF(AND(SUMIFS(Compras!$D$6:$D$605,Compras!$B$6:$B$605,$A26,Compras!$C$6:$C$605,"Mediano")&gt;0,N($F26)&lt;=$B$5),"M ","")&amp;IF(AND(SUMIFS(Compras!$D$6:$D$605,Compras!$B$6:$B$605,$A26,Compras!$C$6:$C$605,"Grande")&gt;0,N($G26)&lt;=$B$5),"G","")="","","Reponer "&amp;IF(AND(SUMIFS(Compras!$D$6:$D$605,Compras!$B$6:$B$605,$A26,Compras!$C$6:$C$605,"Chico")&gt;0,N($E26)&lt;=$B$5),"C ","")&amp;IF(AND(SUMIFS(Compras!$D$6:$D$605,Compras!$B$6:$B$605,$A26,Compras!$C$6:$C$605,"Mediano")&gt;0,N($F26)&lt;=$B$5),"M ","")&amp;IF(AND(SUMIFS(Compras!$D$6:$D$605,Compras!$B$6:$B$605,$A26,Compras!$C$6:$C$605,"Grande")&gt;0,N($G26)&lt;=$B$5),"G","")),IF(N($H26)&lt;=$B$5,"REPONER",""))))</f>
        <v>REPONER</v>
      </c>
      <c r="J26" s="69" t="n">
        <f aca="false">IF($A26="","",SUMIFS(Ventas!$D$6:$D$605,Ventas!$B$6:$B$605,$A26))</f>
        <v>1</v>
      </c>
      <c r="K26" s="45" t="n">
        <f aca="false">IF($A26="","",SUMIFS(Ventas!$F$6:$F$605,Ventas!$B$6:$B$605,$A26))</f>
        <v>6500</v>
      </c>
    </row>
    <row r="27" customFormat="false" ht="15.75" hidden="false" customHeight="true" outlineLevel="0" collapsed="false">
      <c r="A27" s="67" t="str">
        <f aca="false">IF(Costos!$A41="","",Costos!$A41)</f>
        <v>Argollitas Ocampo</v>
      </c>
      <c r="B27" s="68" t="str">
        <f aca="false">IF(Costos!$A41="","",Costos!$B41&amp;"")</f>
        <v>Acero blanco</v>
      </c>
      <c r="C27" s="68" t="str">
        <f aca="false">IF(Costos!$A41="","",Costos!$C41&amp;"")</f>
        <v>Aros</v>
      </c>
      <c r="D27" s="69" t="n">
        <f aca="false">IF($A27="","",SUMIFS(Compras!$D$6:$D$605,Compras!$B$6:$B$605,$A27,Compras!$C$6:$C$605,"Único")-SUMIFS(Ventas!$D$6:$D$605,Ventas!$B$6:$B$605,$A27,Ventas!$C$6:$C$605,"Único"))</f>
        <v>1</v>
      </c>
      <c r="E27" s="69" t="str">
        <f aca="false">IF($A27="","",IF(LEFT($C27,6)="Anillo",SUMIFS(Compras!$D$6:$D$605,Compras!$B$6:$B$605,$A27,Compras!$C$6:$C$605,"Chico")-SUMIFS(Ventas!$D$6:$D$605,Ventas!$B$6:$B$605,$A27,Ventas!$C$6:$C$605,"Chico"),""))</f>
        <v/>
      </c>
      <c r="F27" s="69" t="str">
        <f aca="false">IF($A27="","",IF(LEFT($C27,6)="Anillo",SUMIFS(Compras!$D$6:$D$605,Compras!$B$6:$B$605,$A27,Compras!$C$6:$C$605,"Mediano")-SUMIFS(Ventas!$D$6:$D$605,Ventas!$B$6:$B$605,$A27,Ventas!$C$6:$C$605,"Mediano"),""))</f>
        <v/>
      </c>
      <c r="G27" s="69" t="str">
        <f aca="false">IF($A27="","",IF(LEFT($C27,6)="Anillo",SUMIFS(Compras!$D$6:$D$605,Compras!$B$6:$B$605,$A27,Compras!$C$6:$C$605,"Grande")-SUMIFS(Ventas!$D$6:$D$605,Ventas!$B$6:$B$605,$A27,Ventas!$C$6:$C$605,"Grande"),""))</f>
        <v/>
      </c>
      <c r="H27" s="69" t="n">
        <f aca="false">IF($A27="","",N($D27)+N($E27)+N($F27)+N($G27))</f>
        <v>1</v>
      </c>
      <c r="I27" s="70" t="str">
        <f aca="false">IF($A27="","",IF(N($H27)&lt;=0,"SIN STOCK",IF(LEFT($C27,6)="Anillo",IF(IF(AND(SUMIFS(Compras!$D$6:$D$605,Compras!$B$6:$B$605,$A27,Compras!$C$6:$C$605,"Chico")&gt;0,N($E27)&lt;=$B$5),"C ","")&amp;IF(AND(SUMIFS(Compras!$D$6:$D$605,Compras!$B$6:$B$605,$A27,Compras!$C$6:$C$605,"Mediano")&gt;0,N($F27)&lt;=$B$5),"M ","")&amp;IF(AND(SUMIFS(Compras!$D$6:$D$605,Compras!$B$6:$B$605,$A27,Compras!$C$6:$C$605,"Grande")&gt;0,N($G27)&lt;=$B$5),"G","")="","","Reponer "&amp;IF(AND(SUMIFS(Compras!$D$6:$D$605,Compras!$B$6:$B$605,$A27,Compras!$C$6:$C$605,"Chico")&gt;0,N($E27)&lt;=$B$5),"C ","")&amp;IF(AND(SUMIFS(Compras!$D$6:$D$605,Compras!$B$6:$B$605,$A27,Compras!$C$6:$C$605,"Mediano")&gt;0,N($F27)&lt;=$B$5),"M ","")&amp;IF(AND(SUMIFS(Compras!$D$6:$D$605,Compras!$B$6:$B$605,$A27,Compras!$C$6:$C$605,"Grande")&gt;0,N($G27)&lt;=$B$5),"G","")),IF(N($H27)&lt;=$B$5,"REPONER",""))))</f>
        <v>REPONER</v>
      </c>
      <c r="J27" s="69" t="n">
        <f aca="false">IF($A27="","",SUMIFS(Ventas!$D$6:$D$605,Ventas!$B$6:$B$605,$A27))</f>
        <v>1</v>
      </c>
      <c r="K27" s="45" t="n">
        <f aca="false">IF($A27="","",SUMIFS(Ventas!$F$6:$F$605,Ventas!$B$6:$B$605,$A27))</f>
        <v>7000</v>
      </c>
    </row>
    <row r="28" customFormat="false" ht="15.75" hidden="false" customHeight="true" outlineLevel="0" collapsed="false">
      <c r="A28" s="67" t="str">
        <f aca="false">IF(Costos!$A42="","",Costos!$A42)</f>
        <v>Argollitas Bubble</v>
      </c>
      <c r="B28" s="68" t="str">
        <f aca="false">IF(Costos!$A42="","",Costos!$B42&amp;"")</f>
        <v>Acero blanco</v>
      </c>
      <c r="C28" s="68" t="str">
        <f aca="false">IF(Costos!$A42="","",Costos!$C42&amp;"")</f>
        <v>Aros</v>
      </c>
      <c r="D28" s="69" t="n">
        <f aca="false">IF($A28="","",SUMIFS(Compras!$D$6:$D$605,Compras!$B$6:$B$605,$A28,Compras!$C$6:$C$605,"Único")-SUMIFS(Ventas!$D$6:$D$605,Ventas!$B$6:$B$605,$A28,Ventas!$C$6:$C$605,"Único"))</f>
        <v>0</v>
      </c>
      <c r="E28" s="69" t="str">
        <f aca="false">IF($A28="","",IF(LEFT($C28,6)="Anillo",SUMIFS(Compras!$D$6:$D$605,Compras!$B$6:$B$605,$A28,Compras!$C$6:$C$605,"Chico")-SUMIFS(Ventas!$D$6:$D$605,Ventas!$B$6:$B$605,$A28,Ventas!$C$6:$C$605,"Chico"),""))</f>
        <v/>
      </c>
      <c r="F28" s="69" t="str">
        <f aca="false">IF($A28="","",IF(LEFT($C28,6)="Anillo",SUMIFS(Compras!$D$6:$D$605,Compras!$B$6:$B$605,$A28,Compras!$C$6:$C$605,"Mediano")-SUMIFS(Ventas!$D$6:$D$605,Ventas!$B$6:$B$605,$A28,Ventas!$C$6:$C$605,"Mediano"),""))</f>
        <v/>
      </c>
      <c r="G28" s="69" t="str">
        <f aca="false">IF($A28="","",IF(LEFT($C28,6)="Anillo",SUMIFS(Compras!$D$6:$D$605,Compras!$B$6:$B$605,$A28,Compras!$C$6:$C$605,"Grande")-SUMIFS(Ventas!$D$6:$D$605,Ventas!$B$6:$B$605,$A28,Ventas!$C$6:$C$605,"Grande"),""))</f>
        <v/>
      </c>
      <c r="H28" s="69" t="n">
        <f aca="false">IF($A28="","",N($D28)+N($E28)+N($F28)+N($G28))</f>
        <v>0</v>
      </c>
      <c r="I28" s="70" t="str">
        <f aca="false">IF($A28="","",IF(N($H28)&lt;=0,"SIN STOCK",IF(LEFT($C28,6)="Anillo",IF(IF(AND(SUMIFS(Compras!$D$6:$D$605,Compras!$B$6:$B$605,$A28,Compras!$C$6:$C$605,"Chico")&gt;0,N($E28)&lt;=$B$5),"C ","")&amp;IF(AND(SUMIFS(Compras!$D$6:$D$605,Compras!$B$6:$B$605,$A28,Compras!$C$6:$C$605,"Mediano")&gt;0,N($F28)&lt;=$B$5),"M ","")&amp;IF(AND(SUMIFS(Compras!$D$6:$D$605,Compras!$B$6:$B$605,$A28,Compras!$C$6:$C$605,"Grande")&gt;0,N($G28)&lt;=$B$5),"G","")="","","Reponer "&amp;IF(AND(SUMIFS(Compras!$D$6:$D$605,Compras!$B$6:$B$605,$A28,Compras!$C$6:$C$605,"Chico")&gt;0,N($E28)&lt;=$B$5),"C ","")&amp;IF(AND(SUMIFS(Compras!$D$6:$D$605,Compras!$B$6:$B$605,$A28,Compras!$C$6:$C$605,"Mediano")&gt;0,N($F28)&lt;=$B$5),"M ","")&amp;IF(AND(SUMIFS(Compras!$D$6:$D$605,Compras!$B$6:$B$605,$A28,Compras!$C$6:$C$605,"Grande")&gt;0,N($G28)&lt;=$B$5),"G","")),IF(N($H28)&lt;=$B$5,"REPONER",""))))</f>
        <v>SIN STOCK</v>
      </c>
      <c r="J28" s="69" t="n">
        <f aca="false">IF($A28="","",SUMIFS(Ventas!$D$6:$D$605,Ventas!$B$6:$B$605,$A28))</f>
        <v>1</v>
      </c>
      <c r="K28" s="45" t="n">
        <f aca="false">IF($A28="","",SUMIFS(Ventas!$F$6:$F$605,Ventas!$B$6:$B$605,$A28))</f>
        <v>6500</v>
      </c>
    </row>
    <row r="29" customFormat="false" ht="15.75" hidden="false" customHeight="true" outlineLevel="0" collapsed="false">
      <c r="A29" s="67" t="str">
        <f aca="false">IF(Costos!$A43="","",Costos!$A43)</f>
        <v>Argollitas Bombe</v>
      </c>
      <c r="B29" s="68" t="str">
        <f aca="false">IF(Costos!$A43="","",Costos!$B43&amp;"")</f>
        <v>Acero blanco</v>
      </c>
      <c r="C29" s="68" t="str">
        <f aca="false">IF(Costos!$A43="","",Costos!$C43&amp;"")</f>
        <v>Aros</v>
      </c>
      <c r="D29" s="69" t="n">
        <f aca="false">IF($A29="","",SUMIFS(Compras!$D$6:$D$605,Compras!$B$6:$B$605,$A29,Compras!$C$6:$C$605,"Único")-SUMIFS(Ventas!$D$6:$D$605,Ventas!$B$6:$B$605,$A29,Ventas!$C$6:$C$605,"Único"))</f>
        <v>1</v>
      </c>
      <c r="E29" s="69" t="str">
        <f aca="false">IF($A29="","",IF(LEFT($C29,6)="Anillo",SUMIFS(Compras!$D$6:$D$605,Compras!$B$6:$B$605,$A29,Compras!$C$6:$C$605,"Chico")-SUMIFS(Ventas!$D$6:$D$605,Ventas!$B$6:$B$605,$A29,Ventas!$C$6:$C$605,"Chico"),""))</f>
        <v/>
      </c>
      <c r="F29" s="69" t="str">
        <f aca="false">IF($A29="","",IF(LEFT($C29,6)="Anillo",SUMIFS(Compras!$D$6:$D$605,Compras!$B$6:$B$605,$A29,Compras!$C$6:$C$605,"Mediano")-SUMIFS(Ventas!$D$6:$D$605,Ventas!$B$6:$B$605,$A29,Ventas!$C$6:$C$605,"Mediano"),""))</f>
        <v/>
      </c>
      <c r="G29" s="69" t="str">
        <f aca="false">IF($A29="","",IF(LEFT($C29,6)="Anillo",SUMIFS(Compras!$D$6:$D$605,Compras!$B$6:$B$605,$A29,Compras!$C$6:$C$605,"Grande")-SUMIFS(Ventas!$D$6:$D$605,Ventas!$B$6:$B$605,$A29,Ventas!$C$6:$C$605,"Grande"),""))</f>
        <v/>
      </c>
      <c r="H29" s="69" t="n">
        <f aca="false">IF($A29="","",N($D29)+N($E29)+N($F29)+N($G29))</f>
        <v>1</v>
      </c>
      <c r="I29" s="70" t="str">
        <f aca="false">IF($A29="","",IF(N($H29)&lt;=0,"SIN STOCK",IF(LEFT($C29,6)="Anillo",IF(IF(AND(SUMIFS(Compras!$D$6:$D$605,Compras!$B$6:$B$605,$A29,Compras!$C$6:$C$605,"Chico")&gt;0,N($E29)&lt;=$B$5),"C ","")&amp;IF(AND(SUMIFS(Compras!$D$6:$D$605,Compras!$B$6:$B$605,$A29,Compras!$C$6:$C$605,"Mediano")&gt;0,N($F29)&lt;=$B$5),"M ","")&amp;IF(AND(SUMIFS(Compras!$D$6:$D$605,Compras!$B$6:$B$605,$A29,Compras!$C$6:$C$605,"Grande")&gt;0,N($G29)&lt;=$B$5),"G","")="","","Reponer "&amp;IF(AND(SUMIFS(Compras!$D$6:$D$605,Compras!$B$6:$B$605,$A29,Compras!$C$6:$C$605,"Chico")&gt;0,N($E29)&lt;=$B$5),"C ","")&amp;IF(AND(SUMIFS(Compras!$D$6:$D$605,Compras!$B$6:$B$605,$A29,Compras!$C$6:$C$605,"Mediano")&gt;0,N($F29)&lt;=$B$5),"M ","")&amp;IF(AND(SUMIFS(Compras!$D$6:$D$605,Compras!$B$6:$B$605,$A29,Compras!$C$6:$C$605,"Grande")&gt;0,N($G29)&lt;=$B$5),"G","")),IF(N($H29)&lt;=$B$5,"REPONER",""))))</f>
        <v>REPONER</v>
      </c>
      <c r="J29" s="69" t="n">
        <f aca="false">IF($A29="","",SUMIFS(Ventas!$D$6:$D$605,Ventas!$B$6:$B$605,$A29))</f>
        <v>1</v>
      </c>
      <c r="K29" s="45" t="n">
        <f aca="false">IF($A29="","",SUMIFS(Ventas!$F$6:$F$605,Ventas!$B$6:$B$605,$A29))</f>
        <v>6500</v>
      </c>
    </row>
    <row r="30" customFormat="false" ht="15.75" hidden="false" customHeight="true" outlineLevel="0" collapsed="false">
      <c r="A30" s="67" t="str">
        <f aca="false">IF(Costos!$A44="","",Costos!$A44)</f>
        <v>Argollita Duna N°0</v>
      </c>
      <c r="B30" s="68" t="str">
        <f aca="false">IF(Costos!$A44="","",Costos!$B44&amp;"")</f>
        <v>Acero blanco</v>
      </c>
      <c r="C30" s="68" t="str">
        <f aca="false">IF(Costos!$A44="","",Costos!$C44&amp;"")</f>
        <v>Aros</v>
      </c>
      <c r="D30" s="69" t="n">
        <f aca="false">IF($A30="","",SUMIFS(Compras!$D$6:$D$605,Compras!$B$6:$B$605,$A30,Compras!$C$6:$C$605,"Único")-SUMIFS(Ventas!$D$6:$D$605,Ventas!$B$6:$B$605,$A30,Ventas!$C$6:$C$605,"Único"))</f>
        <v>0</v>
      </c>
      <c r="E30" s="69" t="str">
        <f aca="false">IF($A30="","",IF(LEFT($C30,6)="Anillo",SUMIFS(Compras!$D$6:$D$605,Compras!$B$6:$B$605,$A30,Compras!$C$6:$C$605,"Chico")-SUMIFS(Ventas!$D$6:$D$605,Ventas!$B$6:$B$605,$A30,Ventas!$C$6:$C$605,"Chico"),""))</f>
        <v/>
      </c>
      <c r="F30" s="69" t="str">
        <f aca="false">IF($A30="","",IF(LEFT($C30,6)="Anillo",SUMIFS(Compras!$D$6:$D$605,Compras!$B$6:$B$605,$A30,Compras!$C$6:$C$605,"Mediano")-SUMIFS(Ventas!$D$6:$D$605,Ventas!$B$6:$B$605,$A30,Ventas!$C$6:$C$605,"Mediano"),""))</f>
        <v/>
      </c>
      <c r="G30" s="69" t="str">
        <f aca="false">IF($A30="","",IF(LEFT($C30,6)="Anillo",SUMIFS(Compras!$D$6:$D$605,Compras!$B$6:$B$605,$A30,Compras!$C$6:$C$605,"Grande")-SUMIFS(Ventas!$D$6:$D$605,Ventas!$B$6:$B$605,$A30,Ventas!$C$6:$C$605,"Grande"),""))</f>
        <v/>
      </c>
      <c r="H30" s="69" t="n">
        <f aca="false">IF($A30="","",N($D30)+N($E30)+N($F30)+N($G30))</f>
        <v>0</v>
      </c>
      <c r="I30" s="70" t="str">
        <f aca="false">IF($A30="","",IF(N($H30)&lt;=0,"SIN STOCK",IF(LEFT($C30,6)="Anillo",IF(IF(AND(SUMIFS(Compras!$D$6:$D$605,Compras!$B$6:$B$605,$A30,Compras!$C$6:$C$605,"Chico")&gt;0,N($E30)&lt;=$B$5),"C ","")&amp;IF(AND(SUMIFS(Compras!$D$6:$D$605,Compras!$B$6:$B$605,$A30,Compras!$C$6:$C$605,"Mediano")&gt;0,N($F30)&lt;=$B$5),"M ","")&amp;IF(AND(SUMIFS(Compras!$D$6:$D$605,Compras!$B$6:$B$605,$A30,Compras!$C$6:$C$605,"Grande")&gt;0,N($G30)&lt;=$B$5),"G","")="","","Reponer "&amp;IF(AND(SUMIFS(Compras!$D$6:$D$605,Compras!$B$6:$B$605,$A30,Compras!$C$6:$C$605,"Chico")&gt;0,N($E30)&lt;=$B$5),"C ","")&amp;IF(AND(SUMIFS(Compras!$D$6:$D$605,Compras!$B$6:$B$605,$A30,Compras!$C$6:$C$605,"Mediano")&gt;0,N($F30)&lt;=$B$5),"M ","")&amp;IF(AND(SUMIFS(Compras!$D$6:$D$605,Compras!$B$6:$B$605,$A30,Compras!$C$6:$C$605,"Grande")&gt;0,N($G30)&lt;=$B$5),"G","")),IF(N($H30)&lt;=$B$5,"REPONER",""))))</f>
        <v>SIN STOCK</v>
      </c>
      <c r="J30" s="69" t="n">
        <f aca="false">IF($A30="","",SUMIFS(Ventas!$D$6:$D$605,Ventas!$B$6:$B$605,$A30))</f>
        <v>1</v>
      </c>
      <c r="K30" s="45" t="n">
        <f aca="false">IF($A30="","",SUMIFS(Ventas!$F$6:$F$605,Ventas!$B$6:$B$605,$A30))</f>
        <v>6500</v>
      </c>
    </row>
    <row r="31" customFormat="false" ht="15.75" hidden="false" customHeight="true" outlineLevel="0" collapsed="false">
      <c r="A31" s="67" t="str">
        <f aca="false">IF(Costos!$A45="","",Costos!$A45)</f>
        <v>Argollita Duna N°1</v>
      </c>
      <c r="B31" s="68" t="str">
        <f aca="false">IF(Costos!$A45="","",Costos!$B45&amp;"")</f>
        <v>Acero blanco</v>
      </c>
      <c r="C31" s="68" t="str">
        <f aca="false">IF(Costos!$A45="","",Costos!$C45&amp;"")</f>
        <v>Aros</v>
      </c>
      <c r="D31" s="69" t="n">
        <f aca="false">IF($A31="","",SUMIFS(Compras!$D$6:$D$605,Compras!$B$6:$B$605,$A31,Compras!$C$6:$C$605,"Único")-SUMIFS(Ventas!$D$6:$D$605,Ventas!$B$6:$B$605,$A31,Ventas!$C$6:$C$605,"Único"))</f>
        <v>1</v>
      </c>
      <c r="E31" s="69" t="str">
        <f aca="false">IF($A31="","",IF(LEFT($C31,6)="Anillo",SUMIFS(Compras!$D$6:$D$605,Compras!$B$6:$B$605,$A31,Compras!$C$6:$C$605,"Chico")-SUMIFS(Ventas!$D$6:$D$605,Ventas!$B$6:$B$605,$A31,Ventas!$C$6:$C$605,"Chico"),""))</f>
        <v/>
      </c>
      <c r="F31" s="69" t="str">
        <f aca="false">IF($A31="","",IF(LEFT($C31,6)="Anillo",SUMIFS(Compras!$D$6:$D$605,Compras!$B$6:$B$605,$A31,Compras!$C$6:$C$605,"Mediano")-SUMIFS(Ventas!$D$6:$D$605,Ventas!$B$6:$B$605,$A31,Ventas!$C$6:$C$605,"Mediano"),""))</f>
        <v/>
      </c>
      <c r="G31" s="69" t="str">
        <f aca="false">IF($A31="","",IF(LEFT($C31,6)="Anillo",SUMIFS(Compras!$D$6:$D$605,Compras!$B$6:$B$605,$A31,Compras!$C$6:$C$605,"Grande")-SUMIFS(Ventas!$D$6:$D$605,Ventas!$B$6:$B$605,$A31,Ventas!$C$6:$C$605,"Grande"),""))</f>
        <v/>
      </c>
      <c r="H31" s="69" t="n">
        <f aca="false">IF($A31="","",N($D31)+N($E31)+N($F31)+N($G31))</f>
        <v>1</v>
      </c>
      <c r="I31" s="70" t="str">
        <f aca="false">IF($A31="","",IF(N($H31)&lt;=0,"SIN STOCK",IF(LEFT($C31,6)="Anillo",IF(IF(AND(SUMIFS(Compras!$D$6:$D$605,Compras!$B$6:$B$605,$A31,Compras!$C$6:$C$605,"Chico")&gt;0,N($E31)&lt;=$B$5),"C ","")&amp;IF(AND(SUMIFS(Compras!$D$6:$D$605,Compras!$B$6:$B$605,$A31,Compras!$C$6:$C$605,"Mediano")&gt;0,N($F31)&lt;=$B$5),"M ","")&amp;IF(AND(SUMIFS(Compras!$D$6:$D$605,Compras!$B$6:$B$605,$A31,Compras!$C$6:$C$605,"Grande")&gt;0,N($G31)&lt;=$B$5),"G","")="","","Reponer "&amp;IF(AND(SUMIFS(Compras!$D$6:$D$605,Compras!$B$6:$B$605,$A31,Compras!$C$6:$C$605,"Chico")&gt;0,N($E31)&lt;=$B$5),"C ","")&amp;IF(AND(SUMIFS(Compras!$D$6:$D$605,Compras!$B$6:$B$605,$A31,Compras!$C$6:$C$605,"Mediano")&gt;0,N($F31)&lt;=$B$5),"M ","")&amp;IF(AND(SUMIFS(Compras!$D$6:$D$605,Compras!$B$6:$B$605,$A31,Compras!$C$6:$C$605,"Grande")&gt;0,N($G31)&lt;=$B$5),"G","")),IF(N($H31)&lt;=$B$5,"REPONER",""))))</f>
        <v>REPONER</v>
      </c>
      <c r="J31" s="69" t="n">
        <f aca="false">IF($A31="","",SUMIFS(Ventas!$D$6:$D$605,Ventas!$B$6:$B$605,$A31))</f>
        <v>0</v>
      </c>
      <c r="K31" s="45" t="n">
        <f aca="false">IF($A31="","",SUMIFS(Ventas!$F$6:$F$605,Ventas!$B$6:$B$605,$A31))</f>
        <v>0</v>
      </c>
    </row>
    <row r="32" customFormat="false" ht="15.75" hidden="false" customHeight="true" outlineLevel="0" collapsed="false">
      <c r="A32" s="67" t="str">
        <f aca="false">IF(Costos!$A46="","",Costos!$A46)</f>
        <v/>
      </c>
      <c r="B32" s="68" t="str">
        <f aca="false">IF(Costos!$A46="","",Costos!$B46&amp;"")</f>
        <v/>
      </c>
      <c r="C32" s="68" t="str">
        <f aca="false">IF(Costos!$A46="","",Costos!$C46&amp;"")</f>
        <v/>
      </c>
      <c r="D32" s="69" t="str">
        <f aca="false">IF($A32="","",SUMIFS(Compras!$D$6:$D$605,Compras!$B$6:$B$605,$A32,Compras!$C$6:$C$605,"Único")-SUMIFS(Ventas!$D$6:$D$605,Ventas!$B$6:$B$605,$A32,Ventas!$C$6:$C$605,"Único"))</f>
        <v/>
      </c>
      <c r="E32" s="69" t="str">
        <f aca="false">IF($A32="","",IF(LEFT($C32,6)="Anillo",SUMIFS(Compras!$D$6:$D$605,Compras!$B$6:$B$605,$A32,Compras!$C$6:$C$605,"Chico")-SUMIFS(Ventas!$D$6:$D$605,Ventas!$B$6:$B$605,$A32,Ventas!$C$6:$C$605,"Chico"),""))</f>
        <v/>
      </c>
      <c r="F32" s="69" t="str">
        <f aca="false">IF($A32="","",IF(LEFT($C32,6)="Anillo",SUMIFS(Compras!$D$6:$D$605,Compras!$B$6:$B$605,$A32,Compras!$C$6:$C$605,"Mediano")-SUMIFS(Ventas!$D$6:$D$605,Ventas!$B$6:$B$605,$A32,Ventas!$C$6:$C$605,"Mediano"),""))</f>
        <v/>
      </c>
      <c r="G32" s="69" t="str">
        <f aca="false">IF($A32="","",IF(LEFT($C32,6)="Anillo",SUMIFS(Compras!$D$6:$D$605,Compras!$B$6:$B$605,$A32,Compras!$C$6:$C$605,"Grande")-SUMIFS(Ventas!$D$6:$D$605,Ventas!$B$6:$B$605,$A32,Ventas!$C$6:$C$605,"Grande"),""))</f>
        <v/>
      </c>
      <c r="H32" s="69" t="str">
        <f aca="false">IF($A32="","",N($D32)+N($E32)+N($F32)+N($G32))</f>
        <v/>
      </c>
      <c r="I32" s="70" t="str">
        <f aca="false">IF($A32="","",IF(N($H32)&lt;=0,"SIN STOCK",IF(LEFT($C32,6)="Anillo",IF(IF(AND(SUMIFS(Compras!$D$6:$D$605,Compras!$B$6:$B$605,$A32,Compras!$C$6:$C$605,"Chico")&gt;0,N($E32)&lt;=$B$5),"C ","")&amp;IF(AND(SUMIFS(Compras!$D$6:$D$605,Compras!$B$6:$B$605,$A32,Compras!$C$6:$C$605,"Mediano")&gt;0,N($F32)&lt;=$B$5),"M ","")&amp;IF(AND(SUMIFS(Compras!$D$6:$D$605,Compras!$B$6:$B$605,$A32,Compras!$C$6:$C$605,"Grande")&gt;0,N($G32)&lt;=$B$5),"G","")="","","Reponer "&amp;IF(AND(SUMIFS(Compras!$D$6:$D$605,Compras!$B$6:$B$605,$A32,Compras!$C$6:$C$605,"Chico")&gt;0,N($E32)&lt;=$B$5),"C ","")&amp;IF(AND(SUMIFS(Compras!$D$6:$D$605,Compras!$B$6:$B$605,$A32,Compras!$C$6:$C$605,"Mediano")&gt;0,N($F32)&lt;=$B$5),"M ","")&amp;IF(AND(SUMIFS(Compras!$D$6:$D$605,Compras!$B$6:$B$605,$A32,Compras!$C$6:$C$605,"Grande")&gt;0,N($G32)&lt;=$B$5),"G","")),IF(N($H32)&lt;=$B$5,"REPONER",""))))</f>
        <v/>
      </c>
      <c r="J32" s="69" t="str">
        <f aca="false">IF($A32="","",SUMIFS(Ventas!$D$6:$D$605,Ventas!$B$6:$B$605,$A32))</f>
        <v/>
      </c>
      <c r="K32" s="45" t="str">
        <f aca="false">IF($A32="","",SUMIFS(Ventas!$F$6:$F$605,Ventas!$B$6:$B$605,$A32))</f>
        <v/>
      </c>
    </row>
    <row r="33" customFormat="false" ht="15.75" hidden="false" customHeight="true" outlineLevel="0" collapsed="false">
      <c r="A33" s="67" t="str">
        <f aca="false">IF(Costos!$A47="","",Costos!$A47)</f>
        <v>Anillo Corazón I</v>
      </c>
      <c r="B33" s="68" t="str">
        <f aca="false">IF(Costos!$A47="","",Costos!$B47&amp;"")</f>
        <v>Acero inoxidable</v>
      </c>
      <c r="C33" s="68" t="str">
        <f aca="false">IF(Costos!$A47="","",Costos!$C47&amp;"")</f>
        <v>Anillo</v>
      </c>
      <c r="D33" s="69" t="n">
        <f aca="false">IF($A33="","",SUMIFS(Compras!$D$6:$D$605,Compras!$B$6:$B$605,$A33,Compras!$C$6:$C$605,"Único")-SUMIFS(Ventas!$D$6:$D$605,Ventas!$B$6:$B$605,$A33,Ventas!$C$6:$C$605,"Único"))</f>
        <v>0</v>
      </c>
      <c r="E33" s="69" t="n">
        <f aca="false">IF($A33="","",IF(LEFT($C33,6)="Anillo",SUMIFS(Compras!$D$6:$D$605,Compras!$B$6:$B$605,$A33,Compras!$C$6:$C$605,"Chico")-SUMIFS(Ventas!$D$6:$D$605,Ventas!$B$6:$B$605,$A33,Ventas!$C$6:$C$605,"Chico"),""))</f>
        <v>0</v>
      </c>
      <c r="F33" s="69" t="n">
        <f aca="false">IF($A33="","",IF(LEFT($C33,6)="Anillo",SUMIFS(Compras!$D$6:$D$605,Compras!$B$6:$B$605,$A33,Compras!$C$6:$C$605,"Mediano")-SUMIFS(Ventas!$D$6:$D$605,Ventas!$B$6:$B$605,$A33,Ventas!$C$6:$C$605,"Mediano"),""))</f>
        <v>0</v>
      </c>
      <c r="G33" s="69" t="n">
        <f aca="false">IF($A33="","",IF(LEFT($C33,6)="Anillo",SUMIFS(Compras!$D$6:$D$605,Compras!$B$6:$B$605,$A33,Compras!$C$6:$C$605,"Grande")-SUMIFS(Ventas!$D$6:$D$605,Ventas!$B$6:$B$605,$A33,Ventas!$C$6:$C$605,"Grande"),""))</f>
        <v>0</v>
      </c>
      <c r="H33" s="69" t="n">
        <f aca="false">IF($A33="","",N($D33)+N($E33)+N($F33)+N($G33))</f>
        <v>0</v>
      </c>
      <c r="I33" s="70" t="str">
        <f aca="false">IF($A33="","",IF(N($H33)&lt;=0,"SIN STOCK",IF(LEFT($C33,6)="Anillo",IF(IF(AND(SUMIFS(Compras!$D$6:$D$605,Compras!$B$6:$B$605,$A33,Compras!$C$6:$C$605,"Chico")&gt;0,N($E33)&lt;=$B$5),"C ","")&amp;IF(AND(SUMIFS(Compras!$D$6:$D$605,Compras!$B$6:$B$605,$A33,Compras!$C$6:$C$605,"Mediano")&gt;0,N($F33)&lt;=$B$5),"M ","")&amp;IF(AND(SUMIFS(Compras!$D$6:$D$605,Compras!$B$6:$B$605,$A33,Compras!$C$6:$C$605,"Grande")&gt;0,N($G33)&lt;=$B$5),"G","")="","","Reponer "&amp;IF(AND(SUMIFS(Compras!$D$6:$D$605,Compras!$B$6:$B$605,$A33,Compras!$C$6:$C$605,"Chico")&gt;0,N($E33)&lt;=$B$5),"C ","")&amp;IF(AND(SUMIFS(Compras!$D$6:$D$605,Compras!$B$6:$B$605,$A33,Compras!$C$6:$C$605,"Mediano")&gt;0,N($F33)&lt;=$B$5),"M ","")&amp;IF(AND(SUMIFS(Compras!$D$6:$D$605,Compras!$B$6:$B$605,$A33,Compras!$C$6:$C$605,"Grande")&gt;0,N($G33)&lt;=$B$5),"G","")),IF(N($H33)&lt;=$B$5,"REPONER",""))))</f>
        <v>SIN STOCK</v>
      </c>
      <c r="J33" s="69" t="n">
        <f aca="false">IF($A33="","",SUMIFS(Ventas!$D$6:$D$605,Ventas!$B$6:$B$605,$A33))</f>
        <v>1</v>
      </c>
      <c r="K33" s="45" t="n">
        <f aca="false">IF($A33="","",SUMIFS(Ventas!$F$6:$F$605,Ventas!$B$6:$B$605,$A33))</f>
        <v>13000</v>
      </c>
    </row>
    <row r="34" customFormat="false" ht="15.75" hidden="false" customHeight="true" outlineLevel="0" collapsed="false">
      <c r="A34" s="67" t="str">
        <f aca="false">IF(Costos!$A48="","",Costos!$A48)</f>
        <v>Anillo Ovalo</v>
      </c>
      <c r="B34" s="68" t="str">
        <f aca="false">IF(Costos!$A48="","",Costos!$B48&amp;"")</f>
        <v>Acero inoxidable</v>
      </c>
      <c r="C34" s="68" t="str">
        <f aca="false">IF(Costos!$A48="","",Costos!$C48&amp;"")</f>
        <v>Anillo</v>
      </c>
      <c r="D34" s="69" t="n">
        <f aca="false">IF($A34="","",SUMIFS(Compras!$D$6:$D$605,Compras!$B$6:$B$605,$A34,Compras!$C$6:$C$605,"Único")-SUMIFS(Ventas!$D$6:$D$605,Ventas!$B$6:$B$605,$A34,Ventas!$C$6:$C$605,"Único"))</f>
        <v>0</v>
      </c>
      <c r="E34" s="69" t="n">
        <f aca="false">IF($A34="","",IF(LEFT($C34,6)="Anillo",SUMIFS(Compras!$D$6:$D$605,Compras!$B$6:$B$605,$A34,Compras!$C$6:$C$605,"Chico")-SUMIFS(Ventas!$D$6:$D$605,Ventas!$B$6:$B$605,$A34,Ventas!$C$6:$C$605,"Chico"),""))</f>
        <v>0</v>
      </c>
      <c r="F34" s="69" t="n">
        <f aca="false">IF($A34="","",IF(LEFT($C34,6)="Anillo",SUMIFS(Compras!$D$6:$D$605,Compras!$B$6:$B$605,$A34,Compras!$C$6:$C$605,"Mediano")-SUMIFS(Ventas!$D$6:$D$605,Ventas!$B$6:$B$605,$A34,Ventas!$C$6:$C$605,"Mediano"),""))</f>
        <v>0</v>
      </c>
      <c r="G34" s="69" t="n">
        <f aca="false">IF($A34="","",IF(LEFT($C34,6)="Anillo",SUMIFS(Compras!$D$6:$D$605,Compras!$B$6:$B$605,$A34,Compras!$C$6:$C$605,"Grande")-SUMIFS(Ventas!$D$6:$D$605,Ventas!$B$6:$B$605,$A34,Ventas!$C$6:$C$605,"Grande"),""))</f>
        <v>0</v>
      </c>
      <c r="H34" s="69" t="n">
        <f aca="false">IF($A34="","",N($D34)+N($E34)+N($F34)+N($G34))</f>
        <v>0</v>
      </c>
      <c r="I34" s="70" t="str">
        <f aca="false">IF($A34="","",IF(N($H34)&lt;=0,"SIN STOCK",IF(LEFT($C34,6)="Anillo",IF(IF(AND(SUMIFS(Compras!$D$6:$D$605,Compras!$B$6:$B$605,$A34,Compras!$C$6:$C$605,"Chico")&gt;0,N($E34)&lt;=$B$5),"C ","")&amp;IF(AND(SUMIFS(Compras!$D$6:$D$605,Compras!$B$6:$B$605,$A34,Compras!$C$6:$C$605,"Mediano")&gt;0,N($F34)&lt;=$B$5),"M ","")&amp;IF(AND(SUMIFS(Compras!$D$6:$D$605,Compras!$B$6:$B$605,$A34,Compras!$C$6:$C$605,"Grande")&gt;0,N($G34)&lt;=$B$5),"G","")="","","Reponer "&amp;IF(AND(SUMIFS(Compras!$D$6:$D$605,Compras!$B$6:$B$605,$A34,Compras!$C$6:$C$605,"Chico")&gt;0,N($E34)&lt;=$B$5),"C ","")&amp;IF(AND(SUMIFS(Compras!$D$6:$D$605,Compras!$B$6:$B$605,$A34,Compras!$C$6:$C$605,"Mediano")&gt;0,N($F34)&lt;=$B$5),"M ","")&amp;IF(AND(SUMIFS(Compras!$D$6:$D$605,Compras!$B$6:$B$605,$A34,Compras!$C$6:$C$605,"Grande")&gt;0,N($G34)&lt;=$B$5),"G","")),IF(N($H34)&lt;=$B$5,"REPONER",""))))</f>
        <v>SIN STOCK</v>
      </c>
      <c r="J34" s="69" t="n">
        <f aca="false">IF($A34="","",SUMIFS(Ventas!$D$6:$D$605,Ventas!$B$6:$B$605,$A34))</f>
        <v>1</v>
      </c>
      <c r="K34" s="45" t="n">
        <f aca="false">IF($A34="","",SUMIFS(Ventas!$F$6:$F$605,Ventas!$B$6:$B$605,$A34))</f>
        <v>11500</v>
      </c>
    </row>
    <row r="35" customFormat="false" ht="15.75" hidden="false" customHeight="true" outlineLevel="0" collapsed="false">
      <c r="A35" s="67" t="str">
        <f aca="false">IF(Costos!$A49="","",Costos!$A49)</f>
        <v>Anillo Star</v>
      </c>
      <c r="B35" s="68" t="str">
        <f aca="false">IF(Costos!$A49="","",Costos!$B49&amp;"")</f>
        <v>Acero inoxidable</v>
      </c>
      <c r="C35" s="68" t="str">
        <f aca="false">IF(Costos!$A49="","",Costos!$C49&amp;"")</f>
        <v>Anillo</v>
      </c>
      <c r="D35" s="69" t="n">
        <f aca="false">IF($A35="","",SUMIFS(Compras!$D$6:$D$605,Compras!$B$6:$B$605,$A35,Compras!$C$6:$C$605,"Único")-SUMIFS(Ventas!$D$6:$D$605,Ventas!$B$6:$B$605,$A35,Ventas!$C$6:$C$605,"Único"))</f>
        <v>0</v>
      </c>
      <c r="E35" s="69" t="n">
        <f aca="false">IF($A35="","",IF(LEFT($C35,6)="Anillo",SUMIFS(Compras!$D$6:$D$605,Compras!$B$6:$B$605,$A35,Compras!$C$6:$C$605,"Chico")-SUMIFS(Ventas!$D$6:$D$605,Ventas!$B$6:$B$605,$A35,Ventas!$C$6:$C$605,"Chico"),""))</f>
        <v>0</v>
      </c>
      <c r="F35" s="69" t="n">
        <f aca="false">IF($A35="","",IF(LEFT($C35,6)="Anillo",SUMIFS(Compras!$D$6:$D$605,Compras!$B$6:$B$605,$A35,Compras!$C$6:$C$605,"Mediano")-SUMIFS(Ventas!$D$6:$D$605,Ventas!$B$6:$B$605,$A35,Ventas!$C$6:$C$605,"Mediano"),""))</f>
        <v>0</v>
      </c>
      <c r="G35" s="69" t="n">
        <f aca="false">IF($A35="","",IF(LEFT($C35,6)="Anillo",SUMIFS(Compras!$D$6:$D$605,Compras!$B$6:$B$605,$A35,Compras!$C$6:$C$605,"Grande")-SUMIFS(Ventas!$D$6:$D$605,Ventas!$B$6:$B$605,$A35,Ventas!$C$6:$C$605,"Grande"),""))</f>
        <v>0</v>
      </c>
      <c r="H35" s="69" t="n">
        <f aca="false">IF($A35="","",N($D35)+N($E35)+N($F35)+N($G35))</f>
        <v>0</v>
      </c>
      <c r="I35" s="70" t="str">
        <f aca="false">IF($A35="","",IF(N($H35)&lt;=0,"SIN STOCK",IF(LEFT($C35,6)="Anillo",IF(IF(AND(SUMIFS(Compras!$D$6:$D$605,Compras!$B$6:$B$605,$A35,Compras!$C$6:$C$605,"Chico")&gt;0,N($E35)&lt;=$B$5),"C ","")&amp;IF(AND(SUMIFS(Compras!$D$6:$D$605,Compras!$B$6:$B$605,$A35,Compras!$C$6:$C$605,"Mediano")&gt;0,N($F35)&lt;=$B$5),"M ","")&amp;IF(AND(SUMIFS(Compras!$D$6:$D$605,Compras!$B$6:$B$605,$A35,Compras!$C$6:$C$605,"Grande")&gt;0,N($G35)&lt;=$B$5),"G","")="","","Reponer "&amp;IF(AND(SUMIFS(Compras!$D$6:$D$605,Compras!$B$6:$B$605,$A35,Compras!$C$6:$C$605,"Chico")&gt;0,N($E35)&lt;=$B$5),"C ","")&amp;IF(AND(SUMIFS(Compras!$D$6:$D$605,Compras!$B$6:$B$605,$A35,Compras!$C$6:$C$605,"Mediano")&gt;0,N($F35)&lt;=$B$5),"M ","")&amp;IF(AND(SUMIFS(Compras!$D$6:$D$605,Compras!$B$6:$B$605,$A35,Compras!$C$6:$C$605,"Grande")&gt;0,N($G35)&lt;=$B$5),"G","")),IF(N($H35)&lt;=$B$5,"REPONER",""))))</f>
        <v>SIN STOCK</v>
      </c>
      <c r="J35" s="69" t="n">
        <f aca="false">IF($A35="","",SUMIFS(Ventas!$D$6:$D$605,Ventas!$B$6:$B$605,$A35))</f>
        <v>1</v>
      </c>
      <c r="K35" s="45" t="n">
        <f aca="false">IF($A35="","",SUMIFS(Ventas!$F$6:$F$605,Ventas!$B$6:$B$605,$A35))</f>
        <v>11500</v>
      </c>
    </row>
    <row r="36" customFormat="false" ht="15.75" hidden="false" customHeight="true" outlineLevel="0" collapsed="false">
      <c r="A36" s="67" t="str">
        <f aca="false">IF(Costos!$A50="","",Costos!$A50)</f>
        <v>Anillo Nodo</v>
      </c>
      <c r="B36" s="68" t="str">
        <f aca="false">IF(Costos!$A50="","",Costos!$B50&amp;"")</f>
        <v>Acero inoxidable</v>
      </c>
      <c r="C36" s="68" t="str">
        <f aca="false">IF(Costos!$A50="","",Costos!$C50&amp;"")</f>
        <v>Anillo</v>
      </c>
      <c r="D36" s="69" t="n">
        <f aca="false">IF($A36="","",SUMIFS(Compras!$D$6:$D$605,Compras!$B$6:$B$605,$A36,Compras!$C$6:$C$605,"Único")-SUMIFS(Ventas!$D$6:$D$605,Ventas!$B$6:$B$605,$A36,Ventas!$C$6:$C$605,"Único"))</f>
        <v>0</v>
      </c>
      <c r="E36" s="69" t="n">
        <f aca="false">IF($A36="","",IF(LEFT($C36,6)="Anillo",SUMIFS(Compras!$D$6:$D$605,Compras!$B$6:$B$605,$A36,Compras!$C$6:$C$605,"Chico")-SUMIFS(Ventas!$D$6:$D$605,Ventas!$B$6:$B$605,$A36,Ventas!$C$6:$C$605,"Chico"),""))</f>
        <v>0</v>
      </c>
      <c r="F36" s="69" t="n">
        <f aca="false">IF($A36="","",IF(LEFT($C36,6)="Anillo",SUMIFS(Compras!$D$6:$D$605,Compras!$B$6:$B$605,$A36,Compras!$C$6:$C$605,"Mediano")-SUMIFS(Ventas!$D$6:$D$605,Ventas!$B$6:$B$605,$A36,Ventas!$C$6:$C$605,"Mediano"),""))</f>
        <v>0</v>
      </c>
      <c r="G36" s="69" t="n">
        <f aca="false">IF($A36="","",IF(LEFT($C36,6)="Anillo",SUMIFS(Compras!$D$6:$D$605,Compras!$B$6:$B$605,$A36,Compras!$C$6:$C$605,"Grande")-SUMIFS(Ventas!$D$6:$D$605,Ventas!$B$6:$B$605,$A36,Ventas!$C$6:$C$605,"Grande"),""))</f>
        <v>0</v>
      </c>
      <c r="H36" s="69" t="n">
        <f aca="false">IF($A36="","",N($D36)+N($E36)+N($F36)+N($G36))</f>
        <v>0</v>
      </c>
      <c r="I36" s="70" t="str">
        <f aca="false">IF($A36="","",IF(N($H36)&lt;=0,"SIN STOCK",IF(LEFT($C36,6)="Anillo",IF(IF(AND(SUMIFS(Compras!$D$6:$D$605,Compras!$B$6:$B$605,$A36,Compras!$C$6:$C$605,"Chico")&gt;0,N($E36)&lt;=$B$5),"C ","")&amp;IF(AND(SUMIFS(Compras!$D$6:$D$605,Compras!$B$6:$B$605,$A36,Compras!$C$6:$C$605,"Mediano")&gt;0,N($F36)&lt;=$B$5),"M ","")&amp;IF(AND(SUMIFS(Compras!$D$6:$D$605,Compras!$B$6:$B$605,$A36,Compras!$C$6:$C$605,"Grande")&gt;0,N($G36)&lt;=$B$5),"G","")="","","Reponer "&amp;IF(AND(SUMIFS(Compras!$D$6:$D$605,Compras!$B$6:$B$605,$A36,Compras!$C$6:$C$605,"Chico")&gt;0,N($E36)&lt;=$B$5),"C ","")&amp;IF(AND(SUMIFS(Compras!$D$6:$D$605,Compras!$B$6:$B$605,$A36,Compras!$C$6:$C$605,"Mediano")&gt;0,N($F36)&lt;=$B$5),"M ","")&amp;IF(AND(SUMIFS(Compras!$D$6:$D$605,Compras!$B$6:$B$605,$A36,Compras!$C$6:$C$605,"Grande")&gt;0,N($G36)&lt;=$B$5),"G","")),IF(N($H36)&lt;=$B$5,"REPONER",""))))</f>
        <v>SIN STOCK</v>
      </c>
      <c r="J36" s="69" t="n">
        <f aca="false">IF($A36="","",SUMIFS(Ventas!$D$6:$D$605,Ventas!$B$6:$B$605,$A36))</f>
        <v>2</v>
      </c>
      <c r="K36" s="45" t="n">
        <f aca="false">IF($A36="","",SUMIFS(Ventas!$F$6:$F$605,Ventas!$B$6:$B$605,$A36))</f>
        <v>26000</v>
      </c>
    </row>
    <row r="37" customFormat="false" ht="15.75" hidden="false" customHeight="true" outlineLevel="0" collapsed="false">
      <c r="A37" s="67" t="str">
        <f aca="false">IF(Costos!$A51="","",Costos!$A51)</f>
        <v>Anillo Corazón II Plateado</v>
      </c>
      <c r="B37" s="68" t="str">
        <f aca="false">IF(Costos!$A51="","",Costos!$B51&amp;"")</f>
        <v>Acero inoxidable</v>
      </c>
      <c r="C37" s="68" t="str">
        <f aca="false">IF(Costos!$A51="","",Costos!$C51&amp;"")</f>
        <v>Anillo</v>
      </c>
      <c r="D37" s="69" t="n">
        <f aca="false">IF($A37="","",SUMIFS(Compras!$D$6:$D$605,Compras!$B$6:$B$605,$A37,Compras!$C$6:$C$605,"Único")-SUMIFS(Ventas!$D$6:$D$605,Ventas!$B$6:$B$605,$A37,Ventas!$C$6:$C$605,"Único"))</f>
        <v>1</v>
      </c>
      <c r="E37" s="69" t="n">
        <f aca="false">IF($A37="","",IF(LEFT($C37,6)="Anillo",SUMIFS(Compras!$D$6:$D$605,Compras!$B$6:$B$605,$A37,Compras!$C$6:$C$605,"Chico")-SUMIFS(Ventas!$D$6:$D$605,Ventas!$B$6:$B$605,$A37,Ventas!$C$6:$C$605,"Chico"),""))</f>
        <v>0</v>
      </c>
      <c r="F37" s="69" t="n">
        <f aca="false">IF($A37="","",IF(LEFT($C37,6)="Anillo",SUMIFS(Compras!$D$6:$D$605,Compras!$B$6:$B$605,$A37,Compras!$C$6:$C$605,"Mediano")-SUMIFS(Ventas!$D$6:$D$605,Ventas!$B$6:$B$605,$A37,Ventas!$C$6:$C$605,"Mediano"),""))</f>
        <v>0</v>
      </c>
      <c r="G37" s="69" t="n">
        <f aca="false">IF($A37="","",IF(LEFT($C37,6)="Anillo",SUMIFS(Compras!$D$6:$D$605,Compras!$B$6:$B$605,$A37,Compras!$C$6:$C$605,"Grande")-SUMIFS(Ventas!$D$6:$D$605,Ventas!$B$6:$B$605,$A37,Ventas!$C$6:$C$605,"Grande"),""))</f>
        <v>0</v>
      </c>
      <c r="H37" s="69" t="n">
        <f aca="false">IF($A37="","",N($D37)+N($E37)+N($F37)+N($G37))</f>
        <v>1</v>
      </c>
      <c r="I37" s="70" t="str">
        <f aca="false">IF($A37="","",IF(N($H37)&lt;=0,"SIN STOCK",IF(LEFT($C37,6)="Anillo",IF(IF(AND(SUMIFS(Compras!$D$6:$D$605,Compras!$B$6:$B$605,$A37,Compras!$C$6:$C$605,"Chico")&gt;0,N($E37)&lt;=$B$5),"C ","")&amp;IF(AND(SUMIFS(Compras!$D$6:$D$605,Compras!$B$6:$B$605,$A37,Compras!$C$6:$C$605,"Mediano")&gt;0,N($F37)&lt;=$B$5),"M ","")&amp;IF(AND(SUMIFS(Compras!$D$6:$D$605,Compras!$B$6:$B$605,$A37,Compras!$C$6:$C$605,"Grande")&gt;0,N($G37)&lt;=$B$5),"G","")="","","Reponer "&amp;IF(AND(SUMIFS(Compras!$D$6:$D$605,Compras!$B$6:$B$605,$A37,Compras!$C$6:$C$605,"Chico")&gt;0,N($E37)&lt;=$B$5),"C ","")&amp;IF(AND(SUMIFS(Compras!$D$6:$D$605,Compras!$B$6:$B$605,$A37,Compras!$C$6:$C$605,"Mediano")&gt;0,N($F37)&lt;=$B$5),"M ","")&amp;IF(AND(SUMIFS(Compras!$D$6:$D$605,Compras!$B$6:$B$605,$A37,Compras!$C$6:$C$605,"Grande")&gt;0,N($G37)&lt;=$B$5),"G","")),IF(N($H37)&lt;=$B$5,"REPONER",""))))</f>
        <v/>
      </c>
      <c r="J37" s="69" t="n">
        <f aca="false">IF($A37="","",SUMIFS(Ventas!$D$6:$D$605,Ventas!$B$6:$B$605,$A37))</f>
        <v>1</v>
      </c>
      <c r="K37" s="45" t="n">
        <f aca="false">IF($A37="","",SUMIFS(Ventas!$F$6:$F$605,Ventas!$B$6:$B$605,$A37))</f>
        <v>12000</v>
      </c>
    </row>
    <row r="38" customFormat="false" ht="15.75" hidden="false" customHeight="true" outlineLevel="0" collapsed="false">
      <c r="A38" s="67" t="str">
        <f aca="false">IF(Costos!$A52="","",Costos!$A52)</f>
        <v>Anillo Irregular</v>
      </c>
      <c r="B38" s="68" t="str">
        <f aca="false">IF(Costos!$A52="","",Costos!$B52&amp;"")</f>
        <v>Acero inoxidable</v>
      </c>
      <c r="C38" s="68" t="str">
        <f aca="false">IF(Costos!$A52="","",Costos!$C52&amp;"")</f>
        <v>Anillo</v>
      </c>
      <c r="D38" s="69" t="n">
        <f aca="false">IF($A38="","",SUMIFS(Compras!$D$6:$D$605,Compras!$B$6:$B$605,$A38,Compras!$C$6:$C$605,"Único")-SUMIFS(Ventas!$D$6:$D$605,Ventas!$B$6:$B$605,$A38,Ventas!$C$6:$C$605,"Único"))</f>
        <v>0</v>
      </c>
      <c r="E38" s="69" t="n">
        <f aca="false">IF($A38="","",IF(LEFT($C38,6)="Anillo",SUMIFS(Compras!$D$6:$D$605,Compras!$B$6:$B$605,$A38,Compras!$C$6:$C$605,"Chico")-SUMIFS(Ventas!$D$6:$D$605,Ventas!$B$6:$B$605,$A38,Ventas!$C$6:$C$605,"Chico"),""))</f>
        <v>0</v>
      </c>
      <c r="F38" s="69" t="n">
        <f aca="false">IF($A38="","",IF(LEFT($C38,6)="Anillo",SUMIFS(Compras!$D$6:$D$605,Compras!$B$6:$B$605,$A38,Compras!$C$6:$C$605,"Mediano")-SUMIFS(Ventas!$D$6:$D$605,Ventas!$B$6:$B$605,$A38,Ventas!$C$6:$C$605,"Mediano"),""))</f>
        <v>0</v>
      </c>
      <c r="G38" s="69" t="n">
        <f aca="false">IF($A38="","",IF(LEFT($C38,6)="Anillo",SUMIFS(Compras!$D$6:$D$605,Compras!$B$6:$B$605,$A38,Compras!$C$6:$C$605,"Grande")-SUMIFS(Ventas!$D$6:$D$605,Ventas!$B$6:$B$605,$A38,Ventas!$C$6:$C$605,"Grande"),""))</f>
        <v>0</v>
      </c>
      <c r="H38" s="69" t="n">
        <f aca="false">IF($A38="","",N($D38)+N($E38)+N($F38)+N($G38))</f>
        <v>0</v>
      </c>
      <c r="I38" s="70" t="str">
        <f aca="false">IF($A38="","",IF(N($H38)&lt;=0,"SIN STOCK",IF(LEFT($C38,6)="Anillo",IF(IF(AND(SUMIFS(Compras!$D$6:$D$605,Compras!$B$6:$B$605,$A38,Compras!$C$6:$C$605,"Chico")&gt;0,N($E38)&lt;=$B$5),"C ","")&amp;IF(AND(SUMIFS(Compras!$D$6:$D$605,Compras!$B$6:$B$605,$A38,Compras!$C$6:$C$605,"Mediano")&gt;0,N($F38)&lt;=$B$5),"M ","")&amp;IF(AND(SUMIFS(Compras!$D$6:$D$605,Compras!$B$6:$B$605,$A38,Compras!$C$6:$C$605,"Grande")&gt;0,N($G38)&lt;=$B$5),"G","")="","","Reponer "&amp;IF(AND(SUMIFS(Compras!$D$6:$D$605,Compras!$B$6:$B$605,$A38,Compras!$C$6:$C$605,"Chico")&gt;0,N($E38)&lt;=$B$5),"C ","")&amp;IF(AND(SUMIFS(Compras!$D$6:$D$605,Compras!$B$6:$B$605,$A38,Compras!$C$6:$C$605,"Mediano")&gt;0,N($F38)&lt;=$B$5),"M ","")&amp;IF(AND(SUMIFS(Compras!$D$6:$D$605,Compras!$B$6:$B$605,$A38,Compras!$C$6:$C$605,"Grande")&gt;0,N($G38)&lt;=$B$5),"G","")),IF(N($H38)&lt;=$B$5,"REPONER",""))))</f>
        <v>SIN STOCK</v>
      </c>
      <c r="J38" s="69" t="n">
        <f aca="false">IF($A38="","",SUMIFS(Ventas!$D$6:$D$605,Ventas!$B$6:$B$605,$A38))</f>
        <v>2</v>
      </c>
      <c r="K38" s="45" t="n">
        <f aca="false">IF($A38="","",SUMIFS(Ventas!$F$6:$F$605,Ventas!$B$6:$B$605,$A38))</f>
        <v>23000</v>
      </c>
    </row>
    <row r="39" customFormat="false" ht="15.75" hidden="false" customHeight="true" outlineLevel="0" collapsed="false">
      <c r="A39" s="67" t="str">
        <f aca="false">IF(Costos!$A53="","",Costos!$A53)</f>
        <v>Anillo Zafira</v>
      </c>
      <c r="B39" s="68" t="str">
        <f aca="false">IF(Costos!$A53="","",Costos!$B53&amp;"")</f>
        <v>Acero inoxidable</v>
      </c>
      <c r="C39" s="68" t="str">
        <f aca="false">IF(Costos!$A53="","",Costos!$C53&amp;"")</f>
        <v>Anillo</v>
      </c>
      <c r="D39" s="69" t="n">
        <f aca="false">IF($A39="","",SUMIFS(Compras!$D$6:$D$605,Compras!$B$6:$B$605,$A39,Compras!$C$6:$C$605,"Único")-SUMIFS(Ventas!$D$6:$D$605,Ventas!$B$6:$B$605,$A39,Ventas!$C$6:$C$605,"Único"))</f>
        <v>1</v>
      </c>
      <c r="E39" s="69" t="n">
        <f aca="false">IF($A39="","",IF(LEFT($C39,6)="Anillo",SUMIFS(Compras!$D$6:$D$605,Compras!$B$6:$B$605,$A39,Compras!$C$6:$C$605,"Chico")-SUMIFS(Ventas!$D$6:$D$605,Ventas!$B$6:$B$605,$A39,Ventas!$C$6:$C$605,"Chico"),""))</f>
        <v>0</v>
      </c>
      <c r="F39" s="69" t="n">
        <f aca="false">IF($A39="","",IF(LEFT($C39,6)="Anillo",SUMIFS(Compras!$D$6:$D$605,Compras!$B$6:$B$605,$A39,Compras!$C$6:$C$605,"Mediano")-SUMIFS(Ventas!$D$6:$D$605,Ventas!$B$6:$B$605,$A39,Ventas!$C$6:$C$605,"Mediano"),""))</f>
        <v>0</v>
      </c>
      <c r="G39" s="69" t="n">
        <f aca="false">IF($A39="","",IF(LEFT($C39,6)="Anillo",SUMIFS(Compras!$D$6:$D$605,Compras!$B$6:$B$605,$A39,Compras!$C$6:$C$605,"Grande")-SUMIFS(Ventas!$D$6:$D$605,Ventas!$B$6:$B$605,$A39,Ventas!$C$6:$C$605,"Grande"),""))</f>
        <v>0</v>
      </c>
      <c r="H39" s="69" t="n">
        <f aca="false">IF($A39="","",N($D39)+N($E39)+N($F39)+N($G39))</f>
        <v>1</v>
      </c>
      <c r="I39" s="70" t="str">
        <f aca="false">IF($A39="","",IF(N($H39)&lt;=0,"SIN STOCK",IF(LEFT($C39,6)="Anillo",IF(IF(AND(SUMIFS(Compras!$D$6:$D$605,Compras!$B$6:$B$605,$A39,Compras!$C$6:$C$605,"Chico")&gt;0,N($E39)&lt;=$B$5),"C ","")&amp;IF(AND(SUMIFS(Compras!$D$6:$D$605,Compras!$B$6:$B$605,$A39,Compras!$C$6:$C$605,"Mediano")&gt;0,N($F39)&lt;=$B$5),"M ","")&amp;IF(AND(SUMIFS(Compras!$D$6:$D$605,Compras!$B$6:$B$605,$A39,Compras!$C$6:$C$605,"Grande")&gt;0,N($G39)&lt;=$B$5),"G","")="","","Reponer "&amp;IF(AND(SUMIFS(Compras!$D$6:$D$605,Compras!$B$6:$B$605,$A39,Compras!$C$6:$C$605,"Chico")&gt;0,N($E39)&lt;=$B$5),"C ","")&amp;IF(AND(SUMIFS(Compras!$D$6:$D$605,Compras!$B$6:$B$605,$A39,Compras!$C$6:$C$605,"Mediano")&gt;0,N($F39)&lt;=$B$5),"M ","")&amp;IF(AND(SUMIFS(Compras!$D$6:$D$605,Compras!$B$6:$B$605,$A39,Compras!$C$6:$C$605,"Grande")&gt;0,N($G39)&lt;=$B$5),"G","")),IF(N($H39)&lt;=$B$5,"REPONER",""))))</f>
        <v/>
      </c>
      <c r="J39" s="69" t="n">
        <f aca="false">IF($A39="","",SUMIFS(Ventas!$D$6:$D$605,Ventas!$B$6:$B$605,$A39))</f>
        <v>1</v>
      </c>
      <c r="K39" s="45" t="n">
        <f aca="false">IF($A39="","",SUMIFS(Ventas!$F$6:$F$605,Ventas!$B$6:$B$605,$A39))</f>
        <v>13000</v>
      </c>
    </row>
    <row r="40" customFormat="false" ht="15.75" hidden="false" customHeight="true" outlineLevel="0" collapsed="false">
      <c r="A40" s="67" t="str">
        <f aca="false">IF(Costos!$A54="","",Costos!$A54)</f>
        <v>Anillo Norix</v>
      </c>
      <c r="B40" s="68" t="str">
        <f aca="false">IF(Costos!$A54="","",Costos!$B54&amp;"")</f>
        <v>Acero inoxidable</v>
      </c>
      <c r="C40" s="68" t="str">
        <f aca="false">IF(Costos!$A54="","",Costos!$C54&amp;"")</f>
        <v>Anillo</v>
      </c>
      <c r="D40" s="69" t="n">
        <f aca="false">IF($A40="","",SUMIFS(Compras!$D$6:$D$605,Compras!$B$6:$B$605,$A40,Compras!$C$6:$C$605,"Único")-SUMIFS(Ventas!$D$6:$D$605,Ventas!$B$6:$B$605,$A40,Ventas!$C$6:$C$605,"Único"))</f>
        <v>0</v>
      </c>
      <c r="E40" s="69" t="n">
        <f aca="false">IF($A40="","",IF(LEFT($C40,6)="Anillo",SUMIFS(Compras!$D$6:$D$605,Compras!$B$6:$B$605,$A40,Compras!$C$6:$C$605,"Chico")-SUMIFS(Ventas!$D$6:$D$605,Ventas!$B$6:$B$605,$A40,Ventas!$C$6:$C$605,"Chico"),""))</f>
        <v>0</v>
      </c>
      <c r="F40" s="69" t="n">
        <f aca="false">IF($A40="","",IF(LEFT($C40,6)="Anillo",SUMIFS(Compras!$D$6:$D$605,Compras!$B$6:$B$605,$A40,Compras!$C$6:$C$605,"Mediano")-SUMIFS(Ventas!$D$6:$D$605,Ventas!$B$6:$B$605,$A40,Ventas!$C$6:$C$605,"Mediano"),""))</f>
        <v>0</v>
      </c>
      <c r="G40" s="69" t="n">
        <f aca="false">IF($A40="","",IF(LEFT($C40,6)="Anillo",SUMIFS(Compras!$D$6:$D$605,Compras!$B$6:$B$605,$A40,Compras!$C$6:$C$605,"Grande")-SUMIFS(Ventas!$D$6:$D$605,Ventas!$B$6:$B$605,$A40,Ventas!$C$6:$C$605,"Grande"),""))</f>
        <v>0</v>
      </c>
      <c r="H40" s="69" t="n">
        <f aca="false">IF($A40="","",N($D40)+N($E40)+N($F40)+N($G40))</f>
        <v>0</v>
      </c>
      <c r="I40" s="70" t="str">
        <f aca="false">IF($A40="","",IF(N($H40)&lt;=0,"SIN STOCK",IF(LEFT($C40,6)="Anillo",IF(IF(AND(SUMIFS(Compras!$D$6:$D$605,Compras!$B$6:$B$605,$A40,Compras!$C$6:$C$605,"Chico")&gt;0,N($E40)&lt;=$B$5),"C ","")&amp;IF(AND(SUMIFS(Compras!$D$6:$D$605,Compras!$B$6:$B$605,$A40,Compras!$C$6:$C$605,"Mediano")&gt;0,N($F40)&lt;=$B$5),"M ","")&amp;IF(AND(SUMIFS(Compras!$D$6:$D$605,Compras!$B$6:$B$605,$A40,Compras!$C$6:$C$605,"Grande")&gt;0,N($G40)&lt;=$B$5),"G","")="","","Reponer "&amp;IF(AND(SUMIFS(Compras!$D$6:$D$605,Compras!$B$6:$B$605,$A40,Compras!$C$6:$C$605,"Chico")&gt;0,N($E40)&lt;=$B$5),"C ","")&amp;IF(AND(SUMIFS(Compras!$D$6:$D$605,Compras!$B$6:$B$605,$A40,Compras!$C$6:$C$605,"Mediano")&gt;0,N($F40)&lt;=$B$5),"M ","")&amp;IF(AND(SUMIFS(Compras!$D$6:$D$605,Compras!$B$6:$B$605,$A40,Compras!$C$6:$C$605,"Grande")&gt;0,N($G40)&lt;=$B$5),"G","")),IF(N($H40)&lt;=$B$5,"REPONER",""))))</f>
        <v>SIN STOCK</v>
      </c>
      <c r="J40" s="69" t="n">
        <f aca="false">IF($A40="","",SUMIFS(Ventas!$D$6:$D$605,Ventas!$B$6:$B$605,$A40))</f>
        <v>2</v>
      </c>
      <c r="K40" s="45" t="n">
        <f aca="false">IF($A40="","",SUMIFS(Ventas!$F$6:$F$605,Ventas!$B$6:$B$605,$A40))</f>
        <v>23000</v>
      </c>
    </row>
    <row r="41" customFormat="false" ht="15.75" hidden="false" customHeight="true" outlineLevel="0" collapsed="false">
      <c r="A41" s="67" t="str">
        <f aca="false">IF(Costos!$A55="","",Costos!$A55)</f>
        <v>Anillo Vanton</v>
      </c>
      <c r="B41" s="68" t="str">
        <f aca="false">IF(Costos!$A55="","",Costos!$B55&amp;"")</f>
        <v>Acero inoxidable</v>
      </c>
      <c r="C41" s="68" t="str">
        <f aca="false">IF(Costos!$A55="","",Costos!$C55&amp;"")</f>
        <v>Anillo</v>
      </c>
      <c r="D41" s="69" t="n">
        <f aca="false">IF($A41="","",SUMIFS(Compras!$D$6:$D$605,Compras!$B$6:$B$605,$A41,Compras!$C$6:$C$605,"Único")-SUMIFS(Ventas!$D$6:$D$605,Ventas!$B$6:$B$605,$A41,Ventas!$C$6:$C$605,"Único"))</f>
        <v>0</v>
      </c>
      <c r="E41" s="69" t="n">
        <f aca="false">IF($A41="","",IF(LEFT($C41,6)="Anillo",SUMIFS(Compras!$D$6:$D$605,Compras!$B$6:$B$605,$A41,Compras!$C$6:$C$605,"Chico")-SUMIFS(Ventas!$D$6:$D$605,Ventas!$B$6:$B$605,$A41,Ventas!$C$6:$C$605,"Chico"),""))</f>
        <v>0</v>
      </c>
      <c r="F41" s="69" t="n">
        <f aca="false">IF($A41="","",IF(LEFT($C41,6)="Anillo",SUMIFS(Compras!$D$6:$D$605,Compras!$B$6:$B$605,$A41,Compras!$C$6:$C$605,"Mediano")-SUMIFS(Ventas!$D$6:$D$605,Ventas!$B$6:$B$605,$A41,Ventas!$C$6:$C$605,"Mediano"),""))</f>
        <v>0</v>
      </c>
      <c r="G41" s="69" t="n">
        <f aca="false">IF($A41="","",IF(LEFT($C41,6)="Anillo",SUMIFS(Compras!$D$6:$D$605,Compras!$B$6:$B$605,$A41,Compras!$C$6:$C$605,"Grande")-SUMIFS(Ventas!$D$6:$D$605,Ventas!$B$6:$B$605,$A41,Ventas!$C$6:$C$605,"Grande"),""))</f>
        <v>0</v>
      </c>
      <c r="H41" s="69" t="n">
        <f aca="false">IF($A41="","",N($D41)+N($E41)+N($F41)+N($G41))</f>
        <v>0</v>
      </c>
      <c r="I41" s="70" t="str">
        <f aca="false">IF($A41="","",IF(N($H41)&lt;=0,"SIN STOCK",IF(LEFT($C41,6)="Anillo",IF(IF(AND(SUMIFS(Compras!$D$6:$D$605,Compras!$B$6:$B$605,$A41,Compras!$C$6:$C$605,"Chico")&gt;0,N($E41)&lt;=$B$5),"C ","")&amp;IF(AND(SUMIFS(Compras!$D$6:$D$605,Compras!$B$6:$B$605,$A41,Compras!$C$6:$C$605,"Mediano")&gt;0,N($F41)&lt;=$B$5),"M ","")&amp;IF(AND(SUMIFS(Compras!$D$6:$D$605,Compras!$B$6:$B$605,$A41,Compras!$C$6:$C$605,"Grande")&gt;0,N($G41)&lt;=$B$5),"G","")="","","Reponer "&amp;IF(AND(SUMIFS(Compras!$D$6:$D$605,Compras!$B$6:$B$605,$A41,Compras!$C$6:$C$605,"Chico")&gt;0,N($E41)&lt;=$B$5),"C ","")&amp;IF(AND(SUMIFS(Compras!$D$6:$D$605,Compras!$B$6:$B$605,$A41,Compras!$C$6:$C$605,"Mediano")&gt;0,N($F41)&lt;=$B$5),"M ","")&amp;IF(AND(SUMIFS(Compras!$D$6:$D$605,Compras!$B$6:$B$605,$A41,Compras!$C$6:$C$605,"Grande")&gt;0,N($G41)&lt;=$B$5),"G","")),IF(N($H41)&lt;=$B$5,"REPONER",""))))</f>
        <v>SIN STOCK</v>
      </c>
      <c r="J41" s="69" t="n">
        <f aca="false">IF($A41="","",SUMIFS(Ventas!$D$6:$D$605,Ventas!$B$6:$B$605,$A41))</f>
        <v>2</v>
      </c>
      <c r="K41" s="45" t="n">
        <f aca="false">IF($A41="","",SUMIFS(Ventas!$F$6:$F$605,Ventas!$B$6:$B$605,$A41))</f>
        <v>23000</v>
      </c>
    </row>
    <row r="42" customFormat="false" ht="15.75" hidden="false" customHeight="true" outlineLevel="0" collapsed="false">
      <c r="A42" s="67" t="str">
        <f aca="false">IF(Costos!$A56="","",Costos!$A56)</f>
        <v>Anillo Azmira</v>
      </c>
      <c r="B42" s="68" t="str">
        <f aca="false">IF(Costos!$A56="","",Costos!$B56&amp;"")</f>
        <v>Acero inoxidable</v>
      </c>
      <c r="C42" s="68" t="str">
        <f aca="false">IF(Costos!$A56="","",Costos!$C56&amp;"")</f>
        <v>Anillo</v>
      </c>
      <c r="D42" s="69" t="n">
        <f aca="false">IF($A42="","",SUMIFS(Compras!$D$6:$D$605,Compras!$B$6:$B$605,$A42,Compras!$C$6:$C$605,"Único")-SUMIFS(Ventas!$D$6:$D$605,Ventas!$B$6:$B$605,$A42,Ventas!$C$6:$C$605,"Único"))</f>
        <v>0</v>
      </c>
      <c r="E42" s="69" t="n">
        <f aca="false">IF($A42="","",IF(LEFT($C42,6)="Anillo",SUMIFS(Compras!$D$6:$D$605,Compras!$B$6:$B$605,$A42,Compras!$C$6:$C$605,"Chico")-SUMIFS(Ventas!$D$6:$D$605,Ventas!$B$6:$B$605,$A42,Ventas!$C$6:$C$605,"Chico"),""))</f>
        <v>0</v>
      </c>
      <c r="F42" s="69" t="n">
        <f aca="false">IF($A42="","",IF(LEFT($C42,6)="Anillo",SUMIFS(Compras!$D$6:$D$605,Compras!$B$6:$B$605,$A42,Compras!$C$6:$C$605,"Mediano")-SUMIFS(Ventas!$D$6:$D$605,Ventas!$B$6:$B$605,$A42,Ventas!$C$6:$C$605,"Mediano"),""))</f>
        <v>0</v>
      </c>
      <c r="G42" s="69" t="n">
        <f aca="false">IF($A42="","",IF(LEFT($C42,6)="Anillo",SUMIFS(Compras!$D$6:$D$605,Compras!$B$6:$B$605,$A42,Compras!$C$6:$C$605,"Grande")-SUMIFS(Ventas!$D$6:$D$605,Ventas!$B$6:$B$605,$A42,Ventas!$C$6:$C$605,"Grande"),""))</f>
        <v>0</v>
      </c>
      <c r="H42" s="69" t="n">
        <f aca="false">IF($A42="","",N($D42)+N($E42)+N($F42)+N($G42))</f>
        <v>0</v>
      </c>
      <c r="I42" s="70" t="str">
        <f aca="false">IF($A42="","",IF(N($H42)&lt;=0,"SIN STOCK",IF(LEFT($C42,6)="Anillo",IF(IF(AND(SUMIFS(Compras!$D$6:$D$605,Compras!$B$6:$B$605,$A42,Compras!$C$6:$C$605,"Chico")&gt;0,N($E42)&lt;=$B$5),"C ","")&amp;IF(AND(SUMIFS(Compras!$D$6:$D$605,Compras!$B$6:$B$605,$A42,Compras!$C$6:$C$605,"Mediano")&gt;0,N($F42)&lt;=$B$5),"M ","")&amp;IF(AND(SUMIFS(Compras!$D$6:$D$605,Compras!$B$6:$B$605,$A42,Compras!$C$6:$C$605,"Grande")&gt;0,N($G42)&lt;=$B$5),"G","")="","","Reponer "&amp;IF(AND(SUMIFS(Compras!$D$6:$D$605,Compras!$B$6:$B$605,$A42,Compras!$C$6:$C$605,"Chico")&gt;0,N($E42)&lt;=$B$5),"C ","")&amp;IF(AND(SUMIFS(Compras!$D$6:$D$605,Compras!$B$6:$B$605,$A42,Compras!$C$6:$C$605,"Mediano")&gt;0,N($F42)&lt;=$B$5),"M ","")&amp;IF(AND(SUMIFS(Compras!$D$6:$D$605,Compras!$B$6:$B$605,$A42,Compras!$C$6:$C$605,"Grande")&gt;0,N($G42)&lt;=$B$5),"G","")),IF(N($H42)&lt;=$B$5,"REPONER",""))))</f>
        <v>SIN STOCK</v>
      </c>
      <c r="J42" s="69" t="n">
        <f aca="false">IF($A42="","",SUMIFS(Ventas!$D$6:$D$605,Ventas!$B$6:$B$605,$A42))</f>
        <v>1</v>
      </c>
      <c r="K42" s="45" t="n">
        <f aca="false">IF($A42="","",SUMIFS(Ventas!$F$6:$F$605,Ventas!$B$6:$B$605,$A42))</f>
        <v>11500</v>
      </c>
    </row>
    <row r="43" customFormat="false" ht="15.75" hidden="false" customHeight="true" outlineLevel="0" collapsed="false">
      <c r="A43" s="67" t="str">
        <f aca="false">IF(Costos!$A57="","",Costos!$A57)</f>
        <v>Anillo Mina</v>
      </c>
      <c r="B43" s="68" t="str">
        <f aca="false">IF(Costos!$A57="","",Costos!$B57&amp;"")</f>
        <v>Acero inoxidable</v>
      </c>
      <c r="C43" s="68" t="str">
        <f aca="false">IF(Costos!$A57="","",Costos!$C57&amp;"")</f>
        <v>Anillo</v>
      </c>
      <c r="D43" s="69" t="n">
        <f aca="false">IF($A43="","",SUMIFS(Compras!$D$6:$D$605,Compras!$B$6:$B$605,$A43,Compras!$C$6:$C$605,"Único")-SUMIFS(Ventas!$D$6:$D$605,Ventas!$B$6:$B$605,$A43,Ventas!$C$6:$C$605,"Único"))</f>
        <v>0</v>
      </c>
      <c r="E43" s="69" t="n">
        <f aca="false">IF($A43="","",IF(LEFT($C43,6)="Anillo",SUMIFS(Compras!$D$6:$D$605,Compras!$B$6:$B$605,$A43,Compras!$C$6:$C$605,"Chico")-SUMIFS(Ventas!$D$6:$D$605,Ventas!$B$6:$B$605,$A43,Ventas!$C$6:$C$605,"Chico"),""))</f>
        <v>0</v>
      </c>
      <c r="F43" s="69" t="n">
        <f aca="false">IF($A43="","",IF(LEFT($C43,6)="Anillo",SUMIFS(Compras!$D$6:$D$605,Compras!$B$6:$B$605,$A43,Compras!$C$6:$C$605,"Mediano")-SUMIFS(Ventas!$D$6:$D$605,Ventas!$B$6:$B$605,$A43,Ventas!$C$6:$C$605,"Mediano"),""))</f>
        <v>0</v>
      </c>
      <c r="G43" s="69" t="n">
        <f aca="false">IF($A43="","",IF(LEFT($C43,6)="Anillo",SUMIFS(Compras!$D$6:$D$605,Compras!$B$6:$B$605,$A43,Compras!$C$6:$C$605,"Grande")-SUMIFS(Ventas!$D$6:$D$605,Ventas!$B$6:$B$605,$A43,Ventas!$C$6:$C$605,"Grande"),""))</f>
        <v>0</v>
      </c>
      <c r="H43" s="69" t="n">
        <f aca="false">IF($A43="","",N($D43)+N($E43)+N($F43)+N($G43))</f>
        <v>0</v>
      </c>
      <c r="I43" s="70" t="str">
        <f aca="false">IF($A43="","",IF(N($H43)&lt;=0,"SIN STOCK",IF(LEFT($C43,6)="Anillo",IF(IF(AND(SUMIFS(Compras!$D$6:$D$605,Compras!$B$6:$B$605,$A43,Compras!$C$6:$C$605,"Chico")&gt;0,N($E43)&lt;=$B$5),"C ","")&amp;IF(AND(SUMIFS(Compras!$D$6:$D$605,Compras!$B$6:$B$605,$A43,Compras!$C$6:$C$605,"Mediano")&gt;0,N($F43)&lt;=$B$5),"M ","")&amp;IF(AND(SUMIFS(Compras!$D$6:$D$605,Compras!$B$6:$B$605,$A43,Compras!$C$6:$C$605,"Grande")&gt;0,N($G43)&lt;=$B$5),"G","")="","","Reponer "&amp;IF(AND(SUMIFS(Compras!$D$6:$D$605,Compras!$B$6:$B$605,$A43,Compras!$C$6:$C$605,"Chico")&gt;0,N($E43)&lt;=$B$5),"C ","")&amp;IF(AND(SUMIFS(Compras!$D$6:$D$605,Compras!$B$6:$B$605,$A43,Compras!$C$6:$C$605,"Mediano")&gt;0,N($F43)&lt;=$B$5),"M ","")&amp;IF(AND(SUMIFS(Compras!$D$6:$D$605,Compras!$B$6:$B$605,$A43,Compras!$C$6:$C$605,"Grande")&gt;0,N($G43)&lt;=$B$5),"G","")),IF(N($H43)&lt;=$B$5,"REPONER",""))))</f>
        <v>SIN STOCK</v>
      </c>
      <c r="J43" s="69" t="n">
        <f aca="false">IF($A43="","",SUMIFS(Ventas!$D$6:$D$605,Ventas!$B$6:$B$605,$A43))</f>
        <v>2</v>
      </c>
      <c r="K43" s="45" t="n">
        <f aca="false">IF($A43="","",SUMIFS(Ventas!$F$6:$F$605,Ventas!$B$6:$B$605,$A43))</f>
        <v>26000</v>
      </c>
    </row>
    <row r="44" customFormat="false" ht="15.75" hidden="false" customHeight="true" outlineLevel="0" collapsed="false">
      <c r="A44" s="67" t="str">
        <f aca="false">IF(Costos!$A58="","",Costos!$A58)</f>
        <v>Anillo Virel</v>
      </c>
      <c r="B44" s="68" t="str">
        <f aca="false">IF(Costos!$A58="","",Costos!$B58&amp;"")</f>
        <v>Acero inoxidable</v>
      </c>
      <c r="C44" s="68" t="str">
        <f aca="false">IF(Costos!$A58="","",Costos!$C58&amp;"")</f>
        <v>Anillo</v>
      </c>
      <c r="D44" s="69" t="n">
        <f aca="false">IF($A44="","",SUMIFS(Compras!$D$6:$D$605,Compras!$B$6:$B$605,$A44,Compras!$C$6:$C$605,"Único")-SUMIFS(Ventas!$D$6:$D$605,Ventas!$B$6:$B$605,$A44,Ventas!$C$6:$C$605,"Único"))</f>
        <v>0</v>
      </c>
      <c r="E44" s="69" t="n">
        <f aca="false">IF($A44="","",IF(LEFT($C44,6)="Anillo",SUMIFS(Compras!$D$6:$D$605,Compras!$B$6:$B$605,$A44,Compras!$C$6:$C$605,"Chico")-SUMIFS(Ventas!$D$6:$D$605,Ventas!$B$6:$B$605,$A44,Ventas!$C$6:$C$605,"Chico"),""))</f>
        <v>0</v>
      </c>
      <c r="F44" s="69" t="n">
        <f aca="false">IF($A44="","",IF(LEFT($C44,6)="Anillo",SUMIFS(Compras!$D$6:$D$605,Compras!$B$6:$B$605,$A44,Compras!$C$6:$C$605,"Mediano")-SUMIFS(Ventas!$D$6:$D$605,Ventas!$B$6:$B$605,$A44,Ventas!$C$6:$C$605,"Mediano"),""))</f>
        <v>0</v>
      </c>
      <c r="G44" s="69" t="n">
        <f aca="false">IF($A44="","",IF(LEFT($C44,6)="Anillo",SUMIFS(Compras!$D$6:$D$605,Compras!$B$6:$B$605,$A44,Compras!$C$6:$C$605,"Grande")-SUMIFS(Ventas!$D$6:$D$605,Ventas!$B$6:$B$605,$A44,Ventas!$C$6:$C$605,"Grande"),""))</f>
        <v>0</v>
      </c>
      <c r="H44" s="69" t="n">
        <f aca="false">IF($A44="","",N($D44)+N($E44)+N($F44)+N($G44))</f>
        <v>0</v>
      </c>
      <c r="I44" s="70" t="str">
        <f aca="false">IF($A44="","",IF(N($H44)&lt;=0,"SIN STOCK",IF(LEFT($C44,6)="Anillo",IF(IF(AND(SUMIFS(Compras!$D$6:$D$605,Compras!$B$6:$B$605,$A44,Compras!$C$6:$C$605,"Chico")&gt;0,N($E44)&lt;=$B$5),"C ","")&amp;IF(AND(SUMIFS(Compras!$D$6:$D$605,Compras!$B$6:$B$605,$A44,Compras!$C$6:$C$605,"Mediano")&gt;0,N($F44)&lt;=$B$5),"M ","")&amp;IF(AND(SUMIFS(Compras!$D$6:$D$605,Compras!$B$6:$B$605,$A44,Compras!$C$6:$C$605,"Grande")&gt;0,N($G44)&lt;=$B$5),"G","")="","","Reponer "&amp;IF(AND(SUMIFS(Compras!$D$6:$D$605,Compras!$B$6:$B$605,$A44,Compras!$C$6:$C$605,"Chico")&gt;0,N($E44)&lt;=$B$5),"C ","")&amp;IF(AND(SUMIFS(Compras!$D$6:$D$605,Compras!$B$6:$B$605,$A44,Compras!$C$6:$C$605,"Mediano")&gt;0,N($F44)&lt;=$B$5),"M ","")&amp;IF(AND(SUMIFS(Compras!$D$6:$D$605,Compras!$B$6:$B$605,$A44,Compras!$C$6:$C$605,"Grande")&gt;0,N($G44)&lt;=$B$5),"G","")),IF(N($H44)&lt;=$B$5,"REPONER",""))))</f>
        <v>SIN STOCK</v>
      </c>
      <c r="J44" s="69" t="n">
        <f aca="false">IF($A44="","",SUMIFS(Ventas!$D$6:$D$605,Ventas!$B$6:$B$605,$A44))</f>
        <v>2</v>
      </c>
      <c r="K44" s="45" t="n">
        <f aca="false">IF($A44="","",SUMIFS(Ventas!$F$6:$F$605,Ventas!$B$6:$B$605,$A44))</f>
        <v>24000</v>
      </c>
    </row>
    <row r="45" customFormat="false" ht="15.75" hidden="false" customHeight="true" outlineLevel="0" collapsed="false">
      <c r="A45" s="67" t="str">
        <f aca="false">IF(Costos!$A59="","",Costos!$A59)</f>
        <v/>
      </c>
      <c r="B45" s="68" t="str">
        <f aca="false">IF(Costos!$A59="","",Costos!$B59&amp;"")</f>
        <v/>
      </c>
      <c r="C45" s="68" t="str">
        <f aca="false">IF(Costos!$A59="","",Costos!$C59&amp;"")</f>
        <v/>
      </c>
      <c r="D45" s="69" t="str">
        <f aca="false">IF($A45="","",SUMIFS(Compras!$D$6:$D$605,Compras!$B$6:$B$605,$A45,Compras!$C$6:$C$605,"Único")-SUMIFS(Ventas!$D$6:$D$605,Ventas!$B$6:$B$605,$A45,Ventas!$C$6:$C$605,"Único"))</f>
        <v/>
      </c>
      <c r="E45" s="69" t="str">
        <f aca="false">IF($A45="","",IF(LEFT($C45,6)="Anillo",SUMIFS(Compras!$D$6:$D$605,Compras!$B$6:$B$605,$A45,Compras!$C$6:$C$605,"Chico")-SUMIFS(Ventas!$D$6:$D$605,Ventas!$B$6:$B$605,$A45,Ventas!$C$6:$C$605,"Chico"),""))</f>
        <v/>
      </c>
      <c r="F45" s="69" t="str">
        <f aca="false">IF($A45="","",IF(LEFT($C45,6)="Anillo",SUMIFS(Compras!$D$6:$D$605,Compras!$B$6:$B$605,$A45,Compras!$C$6:$C$605,"Mediano")-SUMIFS(Ventas!$D$6:$D$605,Ventas!$B$6:$B$605,$A45,Ventas!$C$6:$C$605,"Mediano"),""))</f>
        <v/>
      </c>
      <c r="G45" s="69" t="str">
        <f aca="false">IF($A45="","",IF(LEFT($C45,6)="Anillo",SUMIFS(Compras!$D$6:$D$605,Compras!$B$6:$B$605,$A45,Compras!$C$6:$C$605,"Grande")-SUMIFS(Ventas!$D$6:$D$605,Ventas!$B$6:$B$605,$A45,Ventas!$C$6:$C$605,"Grande"),""))</f>
        <v/>
      </c>
      <c r="H45" s="69" t="str">
        <f aca="false">IF($A45="","",N($D45)+N($E45)+N($F45)+N($G45))</f>
        <v/>
      </c>
      <c r="I45" s="70" t="str">
        <f aca="false">IF($A45="","",IF(N($H45)&lt;=0,"SIN STOCK",IF(LEFT($C45,6)="Anillo",IF(IF(AND(SUMIFS(Compras!$D$6:$D$605,Compras!$B$6:$B$605,$A45,Compras!$C$6:$C$605,"Chico")&gt;0,N($E45)&lt;=$B$5),"C ","")&amp;IF(AND(SUMIFS(Compras!$D$6:$D$605,Compras!$B$6:$B$605,$A45,Compras!$C$6:$C$605,"Mediano")&gt;0,N($F45)&lt;=$B$5),"M ","")&amp;IF(AND(SUMIFS(Compras!$D$6:$D$605,Compras!$B$6:$B$605,$A45,Compras!$C$6:$C$605,"Grande")&gt;0,N($G45)&lt;=$B$5),"G","")="","","Reponer "&amp;IF(AND(SUMIFS(Compras!$D$6:$D$605,Compras!$B$6:$B$605,$A45,Compras!$C$6:$C$605,"Chico")&gt;0,N($E45)&lt;=$B$5),"C ","")&amp;IF(AND(SUMIFS(Compras!$D$6:$D$605,Compras!$B$6:$B$605,$A45,Compras!$C$6:$C$605,"Mediano")&gt;0,N($F45)&lt;=$B$5),"M ","")&amp;IF(AND(SUMIFS(Compras!$D$6:$D$605,Compras!$B$6:$B$605,$A45,Compras!$C$6:$C$605,"Grande")&gt;0,N($G45)&lt;=$B$5),"G","")),IF(N($H45)&lt;=$B$5,"REPONER",""))))</f>
        <v/>
      </c>
      <c r="J45" s="69" t="str">
        <f aca="false">IF($A45="","",SUMIFS(Ventas!$D$6:$D$605,Ventas!$B$6:$B$605,$A45))</f>
        <v/>
      </c>
      <c r="K45" s="45" t="str">
        <f aca="false">IF($A45="","",SUMIFS(Ventas!$F$6:$F$605,Ventas!$B$6:$B$605,$A45))</f>
        <v/>
      </c>
    </row>
    <row r="46" customFormat="false" ht="15.75" hidden="false" customHeight="true" outlineLevel="0" collapsed="false">
      <c r="A46" s="67" t="str">
        <f aca="false">IF(Costos!$A60="","",Costos!$A60)</f>
        <v>Cubic Mini cuadrado</v>
      </c>
      <c r="B46" s="68" t="str">
        <f aca="false">IF(Costos!$A60="","",Costos!$B60&amp;"")</f>
        <v>Plata 925</v>
      </c>
      <c r="C46" s="68" t="str">
        <f aca="false">IF(Costos!$A60="","",Costos!$C60&amp;"")</f>
        <v>Aros</v>
      </c>
      <c r="D46" s="69" t="n">
        <f aca="false">IF($A46="","",SUMIFS(Compras!$D$6:$D$605,Compras!$B$6:$B$605,$A46,Compras!$C$6:$C$605,"Único")-SUMIFS(Ventas!$D$6:$D$605,Ventas!$B$6:$B$605,$A46,Ventas!$C$6:$C$605,"Único"))</f>
        <v>0</v>
      </c>
      <c r="E46" s="69" t="str">
        <f aca="false">IF($A46="","",IF(LEFT($C46,6)="Anillo",SUMIFS(Compras!$D$6:$D$605,Compras!$B$6:$B$605,$A46,Compras!$C$6:$C$605,"Chico")-SUMIFS(Ventas!$D$6:$D$605,Ventas!$B$6:$B$605,$A46,Ventas!$C$6:$C$605,"Chico"),""))</f>
        <v/>
      </c>
      <c r="F46" s="69" t="str">
        <f aca="false">IF($A46="","",IF(LEFT($C46,6)="Anillo",SUMIFS(Compras!$D$6:$D$605,Compras!$B$6:$B$605,$A46,Compras!$C$6:$C$605,"Mediano")-SUMIFS(Ventas!$D$6:$D$605,Ventas!$B$6:$B$605,$A46,Ventas!$C$6:$C$605,"Mediano"),""))</f>
        <v/>
      </c>
      <c r="G46" s="69" t="str">
        <f aca="false">IF($A46="","",IF(LEFT($C46,6)="Anillo",SUMIFS(Compras!$D$6:$D$605,Compras!$B$6:$B$605,$A46,Compras!$C$6:$C$605,"Grande")-SUMIFS(Ventas!$D$6:$D$605,Ventas!$B$6:$B$605,$A46,Ventas!$C$6:$C$605,"Grande"),""))</f>
        <v/>
      </c>
      <c r="H46" s="69" t="n">
        <f aca="false">IF($A46="","",N($D46)+N($E46)+N($F46)+N($G46))</f>
        <v>0</v>
      </c>
      <c r="I46" s="70" t="str">
        <f aca="false">IF($A46="","",IF(N($H46)&lt;=0,"SIN STOCK",IF(LEFT($C46,6)="Anillo",IF(IF(AND(SUMIFS(Compras!$D$6:$D$605,Compras!$B$6:$B$605,$A46,Compras!$C$6:$C$605,"Chico")&gt;0,N($E46)&lt;=$B$5),"C ","")&amp;IF(AND(SUMIFS(Compras!$D$6:$D$605,Compras!$B$6:$B$605,$A46,Compras!$C$6:$C$605,"Mediano")&gt;0,N($F46)&lt;=$B$5),"M ","")&amp;IF(AND(SUMIFS(Compras!$D$6:$D$605,Compras!$B$6:$B$605,$A46,Compras!$C$6:$C$605,"Grande")&gt;0,N($G46)&lt;=$B$5),"G","")="","","Reponer "&amp;IF(AND(SUMIFS(Compras!$D$6:$D$605,Compras!$B$6:$B$605,$A46,Compras!$C$6:$C$605,"Chico")&gt;0,N($E46)&lt;=$B$5),"C ","")&amp;IF(AND(SUMIFS(Compras!$D$6:$D$605,Compras!$B$6:$B$605,$A46,Compras!$C$6:$C$605,"Mediano")&gt;0,N($F46)&lt;=$B$5),"M ","")&amp;IF(AND(SUMIFS(Compras!$D$6:$D$605,Compras!$B$6:$B$605,$A46,Compras!$C$6:$C$605,"Grande")&gt;0,N($G46)&lt;=$B$5),"G","")),IF(N($H46)&lt;=$B$5,"REPONER",""))))</f>
        <v>SIN STOCK</v>
      </c>
      <c r="J46" s="69" t="n">
        <f aca="false">IF($A46="","",SUMIFS(Ventas!$D$6:$D$605,Ventas!$B$6:$B$605,$A46))</f>
        <v>2</v>
      </c>
      <c r="K46" s="45" t="n">
        <f aca="false">IF($A46="","",SUMIFS(Ventas!$F$6:$F$605,Ventas!$B$6:$B$605,$A46))</f>
        <v>24000</v>
      </c>
    </row>
    <row r="47" customFormat="false" ht="15.75" hidden="false" customHeight="true" outlineLevel="0" collapsed="false">
      <c r="A47" s="67" t="str">
        <f aca="false">IF(Costos!$A61="","",Costos!$A61)</f>
        <v>Aros Halo N°2 (14 mm)</v>
      </c>
      <c r="B47" s="68" t="str">
        <f aca="false">IF(Costos!$A61="","",Costos!$B61&amp;"")</f>
        <v>Plata 925</v>
      </c>
      <c r="C47" s="68" t="str">
        <f aca="false">IF(Costos!$A61="","",Costos!$C61&amp;"")</f>
        <v>Aros</v>
      </c>
      <c r="D47" s="69" t="n">
        <f aca="false">IF($A47="","",SUMIFS(Compras!$D$6:$D$605,Compras!$B$6:$B$605,$A47,Compras!$C$6:$C$605,"Único")-SUMIFS(Ventas!$D$6:$D$605,Ventas!$B$6:$B$605,$A47,Ventas!$C$6:$C$605,"Único"))</f>
        <v>0</v>
      </c>
      <c r="E47" s="69" t="str">
        <f aca="false">IF($A47="","",IF(LEFT($C47,6)="Anillo",SUMIFS(Compras!$D$6:$D$605,Compras!$B$6:$B$605,$A47,Compras!$C$6:$C$605,"Chico")-SUMIFS(Ventas!$D$6:$D$605,Ventas!$B$6:$B$605,$A47,Ventas!$C$6:$C$605,"Chico"),""))</f>
        <v/>
      </c>
      <c r="F47" s="69" t="str">
        <f aca="false">IF($A47="","",IF(LEFT($C47,6)="Anillo",SUMIFS(Compras!$D$6:$D$605,Compras!$B$6:$B$605,$A47,Compras!$C$6:$C$605,"Mediano")-SUMIFS(Ventas!$D$6:$D$605,Ventas!$B$6:$B$605,$A47,Ventas!$C$6:$C$605,"Mediano"),""))</f>
        <v/>
      </c>
      <c r="G47" s="69" t="str">
        <f aca="false">IF($A47="","",IF(LEFT($C47,6)="Anillo",SUMIFS(Compras!$D$6:$D$605,Compras!$B$6:$B$605,$A47,Compras!$C$6:$C$605,"Grande")-SUMIFS(Ventas!$D$6:$D$605,Ventas!$B$6:$B$605,$A47,Ventas!$C$6:$C$605,"Grande"),""))</f>
        <v/>
      </c>
      <c r="H47" s="69" t="n">
        <f aca="false">IF($A47="","",N($D47)+N($E47)+N($F47)+N($G47))</f>
        <v>0</v>
      </c>
      <c r="I47" s="70" t="str">
        <f aca="false">IF($A47="","",IF(N($H47)&lt;=0,"SIN STOCK",IF(LEFT($C47,6)="Anillo",IF(IF(AND(SUMIFS(Compras!$D$6:$D$605,Compras!$B$6:$B$605,$A47,Compras!$C$6:$C$605,"Chico")&gt;0,N($E47)&lt;=$B$5),"C ","")&amp;IF(AND(SUMIFS(Compras!$D$6:$D$605,Compras!$B$6:$B$605,$A47,Compras!$C$6:$C$605,"Mediano")&gt;0,N($F47)&lt;=$B$5),"M ","")&amp;IF(AND(SUMIFS(Compras!$D$6:$D$605,Compras!$B$6:$B$605,$A47,Compras!$C$6:$C$605,"Grande")&gt;0,N($G47)&lt;=$B$5),"G","")="","","Reponer "&amp;IF(AND(SUMIFS(Compras!$D$6:$D$605,Compras!$B$6:$B$605,$A47,Compras!$C$6:$C$605,"Chico")&gt;0,N($E47)&lt;=$B$5),"C ","")&amp;IF(AND(SUMIFS(Compras!$D$6:$D$605,Compras!$B$6:$B$605,$A47,Compras!$C$6:$C$605,"Mediano")&gt;0,N($F47)&lt;=$B$5),"M ","")&amp;IF(AND(SUMIFS(Compras!$D$6:$D$605,Compras!$B$6:$B$605,$A47,Compras!$C$6:$C$605,"Grande")&gt;0,N($G47)&lt;=$B$5),"G","")),IF(N($H47)&lt;=$B$5,"REPONER",""))))</f>
        <v>SIN STOCK</v>
      </c>
      <c r="J47" s="69" t="n">
        <f aca="false">IF($A47="","",SUMIFS(Ventas!$D$6:$D$605,Ventas!$B$6:$B$605,$A47))</f>
        <v>2</v>
      </c>
      <c r="K47" s="45" t="n">
        <f aca="false">IF($A47="","",SUMIFS(Ventas!$F$6:$F$605,Ventas!$B$6:$B$605,$A47))</f>
        <v>50000</v>
      </c>
    </row>
    <row r="48" customFormat="false" ht="15.75" hidden="false" customHeight="true" outlineLevel="0" collapsed="false">
      <c r="A48" s="67" t="str">
        <f aca="false">IF(Costos!$A62="","",Costos!$A62)</f>
        <v>Aros Gala (12 mm)</v>
      </c>
      <c r="B48" s="68" t="str">
        <f aca="false">IF(Costos!$A62="","",Costos!$B62&amp;"")</f>
        <v>Plata 925</v>
      </c>
      <c r="C48" s="68" t="str">
        <f aca="false">IF(Costos!$A62="","",Costos!$C62&amp;"")</f>
        <v>Aros</v>
      </c>
      <c r="D48" s="69" t="n">
        <f aca="false">IF($A48="","",SUMIFS(Compras!$D$6:$D$605,Compras!$B$6:$B$605,$A48,Compras!$C$6:$C$605,"Único")-SUMIFS(Ventas!$D$6:$D$605,Ventas!$B$6:$B$605,$A48,Ventas!$C$6:$C$605,"Único"))</f>
        <v>0</v>
      </c>
      <c r="E48" s="69" t="str">
        <f aca="false">IF($A48="","",IF(LEFT($C48,6)="Anillo",SUMIFS(Compras!$D$6:$D$605,Compras!$B$6:$B$605,$A48,Compras!$C$6:$C$605,"Chico")-SUMIFS(Ventas!$D$6:$D$605,Ventas!$B$6:$B$605,$A48,Ventas!$C$6:$C$605,"Chico"),""))</f>
        <v/>
      </c>
      <c r="F48" s="69" t="str">
        <f aca="false">IF($A48="","",IF(LEFT($C48,6)="Anillo",SUMIFS(Compras!$D$6:$D$605,Compras!$B$6:$B$605,$A48,Compras!$C$6:$C$605,"Mediano")-SUMIFS(Ventas!$D$6:$D$605,Ventas!$B$6:$B$605,$A48,Ventas!$C$6:$C$605,"Mediano"),""))</f>
        <v/>
      </c>
      <c r="G48" s="69" t="str">
        <f aca="false">IF($A48="","",IF(LEFT($C48,6)="Anillo",SUMIFS(Compras!$D$6:$D$605,Compras!$B$6:$B$605,$A48,Compras!$C$6:$C$605,"Grande")-SUMIFS(Ventas!$D$6:$D$605,Ventas!$B$6:$B$605,$A48,Ventas!$C$6:$C$605,"Grande"),""))</f>
        <v/>
      </c>
      <c r="H48" s="69" t="n">
        <f aca="false">IF($A48="","",N($D48)+N($E48)+N($F48)+N($G48))</f>
        <v>0</v>
      </c>
      <c r="I48" s="70" t="str">
        <f aca="false">IF($A48="","",IF(N($H48)&lt;=0,"SIN STOCK",IF(LEFT($C48,6)="Anillo",IF(IF(AND(SUMIFS(Compras!$D$6:$D$605,Compras!$B$6:$B$605,$A48,Compras!$C$6:$C$605,"Chico")&gt;0,N($E48)&lt;=$B$5),"C ","")&amp;IF(AND(SUMIFS(Compras!$D$6:$D$605,Compras!$B$6:$B$605,$A48,Compras!$C$6:$C$605,"Mediano")&gt;0,N($F48)&lt;=$B$5),"M ","")&amp;IF(AND(SUMIFS(Compras!$D$6:$D$605,Compras!$B$6:$B$605,$A48,Compras!$C$6:$C$605,"Grande")&gt;0,N($G48)&lt;=$B$5),"G","")="","","Reponer "&amp;IF(AND(SUMIFS(Compras!$D$6:$D$605,Compras!$B$6:$B$605,$A48,Compras!$C$6:$C$605,"Chico")&gt;0,N($E48)&lt;=$B$5),"C ","")&amp;IF(AND(SUMIFS(Compras!$D$6:$D$605,Compras!$B$6:$B$605,$A48,Compras!$C$6:$C$605,"Mediano")&gt;0,N($F48)&lt;=$B$5),"M ","")&amp;IF(AND(SUMIFS(Compras!$D$6:$D$605,Compras!$B$6:$B$605,$A48,Compras!$C$6:$C$605,"Grande")&gt;0,N($G48)&lt;=$B$5),"G","")),IF(N($H48)&lt;=$B$5,"REPONER",""))))</f>
        <v>SIN STOCK</v>
      </c>
      <c r="J48" s="69" t="n">
        <f aca="false">IF($A48="","",SUMIFS(Ventas!$D$6:$D$605,Ventas!$B$6:$B$605,$A48))</f>
        <v>1</v>
      </c>
      <c r="K48" s="45" t="n">
        <f aca="false">IF($A48="","",SUMIFS(Ventas!$F$6:$F$605,Ventas!$B$6:$B$605,$A48))</f>
        <v>27000</v>
      </c>
    </row>
    <row r="49" customFormat="false" ht="15.75" hidden="false" customHeight="true" outlineLevel="0" collapsed="false">
      <c r="A49" s="67" t="str">
        <f aca="false">IF(Costos!$A63="","",Costos!$A63)</f>
        <v>Argollitas 10mm</v>
      </c>
      <c r="B49" s="68" t="str">
        <f aca="false">IF(Costos!$A63="","",Costos!$B63&amp;"")</f>
        <v>Plata 925</v>
      </c>
      <c r="C49" s="68" t="str">
        <f aca="false">IF(Costos!$A63="","",Costos!$C63&amp;"")</f>
        <v>Aros</v>
      </c>
      <c r="D49" s="69" t="n">
        <f aca="false">IF($A49="","",SUMIFS(Compras!$D$6:$D$605,Compras!$B$6:$B$605,$A49,Compras!$C$6:$C$605,"Único")-SUMIFS(Ventas!$D$6:$D$605,Ventas!$B$6:$B$605,$A49,Ventas!$C$6:$C$605,"Único"))</f>
        <v>1</v>
      </c>
      <c r="E49" s="69" t="str">
        <f aca="false">IF($A49="","",IF(LEFT($C49,6)="Anillo",SUMIFS(Compras!$D$6:$D$605,Compras!$B$6:$B$605,$A49,Compras!$C$6:$C$605,"Chico")-SUMIFS(Ventas!$D$6:$D$605,Ventas!$B$6:$B$605,$A49,Ventas!$C$6:$C$605,"Chico"),""))</f>
        <v/>
      </c>
      <c r="F49" s="69" t="str">
        <f aca="false">IF($A49="","",IF(LEFT($C49,6)="Anillo",SUMIFS(Compras!$D$6:$D$605,Compras!$B$6:$B$605,$A49,Compras!$C$6:$C$605,"Mediano")-SUMIFS(Ventas!$D$6:$D$605,Ventas!$B$6:$B$605,$A49,Ventas!$C$6:$C$605,"Mediano"),""))</f>
        <v/>
      </c>
      <c r="G49" s="69" t="str">
        <f aca="false">IF($A49="","",IF(LEFT($C49,6)="Anillo",SUMIFS(Compras!$D$6:$D$605,Compras!$B$6:$B$605,$A49,Compras!$C$6:$C$605,"Grande")-SUMIFS(Ventas!$D$6:$D$605,Ventas!$B$6:$B$605,$A49,Ventas!$C$6:$C$605,"Grande"),""))</f>
        <v/>
      </c>
      <c r="H49" s="69" t="n">
        <f aca="false">IF($A49="","",N($D49)+N($E49)+N($F49)+N($G49))</f>
        <v>1</v>
      </c>
      <c r="I49" s="70" t="str">
        <f aca="false">IF($A49="","",IF(N($H49)&lt;=0,"SIN STOCK",IF(LEFT($C49,6)="Anillo",IF(IF(AND(SUMIFS(Compras!$D$6:$D$605,Compras!$B$6:$B$605,$A49,Compras!$C$6:$C$605,"Chico")&gt;0,N($E49)&lt;=$B$5),"C ","")&amp;IF(AND(SUMIFS(Compras!$D$6:$D$605,Compras!$B$6:$B$605,$A49,Compras!$C$6:$C$605,"Mediano")&gt;0,N($F49)&lt;=$B$5),"M ","")&amp;IF(AND(SUMIFS(Compras!$D$6:$D$605,Compras!$B$6:$B$605,$A49,Compras!$C$6:$C$605,"Grande")&gt;0,N($G49)&lt;=$B$5),"G","")="","","Reponer "&amp;IF(AND(SUMIFS(Compras!$D$6:$D$605,Compras!$B$6:$B$605,$A49,Compras!$C$6:$C$605,"Chico")&gt;0,N($E49)&lt;=$B$5),"C ","")&amp;IF(AND(SUMIFS(Compras!$D$6:$D$605,Compras!$B$6:$B$605,$A49,Compras!$C$6:$C$605,"Mediano")&gt;0,N($F49)&lt;=$B$5),"M ","")&amp;IF(AND(SUMIFS(Compras!$D$6:$D$605,Compras!$B$6:$B$605,$A49,Compras!$C$6:$C$605,"Grande")&gt;0,N($G49)&lt;=$B$5),"G","")),IF(N($H49)&lt;=$B$5,"REPONER",""))))</f>
        <v>REPONER</v>
      </c>
      <c r="J49" s="69" t="n">
        <f aca="false">IF($A49="","",SUMIFS(Ventas!$D$6:$D$605,Ventas!$B$6:$B$605,$A49))</f>
        <v>1</v>
      </c>
      <c r="K49" s="45" t="n">
        <f aca="false">IF($A49="","",SUMIFS(Ventas!$F$6:$F$605,Ventas!$B$6:$B$605,$A49))</f>
        <v>7000</v>
      </c>
    </row>
    <row r="50" customFormat="false" ht="15.75" hidden="false" customHeight="true" outlineLevel="0" collapsed="false">
      <c r="A50" s="67" t="str">
        <f aca="false">IF(Costos!$A64="","",Costos!$A64)</f>
        <v>Anillos Corazones III  </v>
      </c>
      <c r="B50" s="68" t="str">
        <f aca="false">IF(Costos!$A64="","",Costos!$B64&amp;"")</f>
        <v>Plata 925</v>
      </c>
      <c r="C50" s="68" t="str">
        <f aca="false">IF(Costos!$A64="","",Costos!$C64&amp;"")</f>
        <v>Anillo</v>
      </c>
      <c r="D50" s="69" t="n">
        <f aca="false">IF($A50="","",SUMIFS(Compras!$D$6:$D$605,Compras!$B$6:$B$605,$A50,Compras!$C$6:$C$605,"Único")-SUMIFS(Ventas!$D$6:$D$605,Ventas!$B$6:$B$605,$A50,Ventas!$C$6:$C$605,"Único"))</f>
        <v>2</v>
      </c>
      <c r="E50" s="69" t="n">
        <f aca="false">IF($A50="","",IF(LEFT($C50,6)="Anillo",SUMIFS(Compras!$D$6:$D$605,Compras!$B$6:$B$605,$A50,Compras!$C$6:$C$605,"Chico")-SUMIFS(Ventas!$D$6:$D$605,Ventas!$B$6:$B$605,$A50,Ventas!$C$6:$C$605,"Chico"),""))</f>
        <v>0</v>
      </c>
      <c r="F50" s="69" t="n">
        <f aca="false">IF($A50="","",IF(LEFT($C50,6)="Anillo",SUMIFS(Compras!$D$6:$D$605,Compras!$B$6:$B$605,$A50,Compras!$C$6:$C$605,"Mediano")-SUMIFS(Ventas!$D$6:$D$605,Ventas!$B$6:$B$605,$A50,Ventas!$C$6:$C$605,"Mediano"),""))</f>
        <v>0</v>
      </c>
      <c r="G50" s="69" t="n">
        <f aca="false">IF($A50="","",IF(LEFT($C50,6)="Anillo",SUMIFS(Compras!$D$6:$D$605,Compras!$B$6:$B$605,$A50,Compras!$C$6:$C$605,"Grande")-SUMIFS(Ventas!$D$6:$D$605,Ventas!$B$6:$B$605,$A50,Ventas!$C$6:$C$605,"Grande"),""))</f>
        <v>0</v>
      </c>
      <c r="H50" s="69" t="n">
        <f aca="false">IF($A50="","",N($D50)+N($E50)+N($F50)+N($G50))</f>
        <v>2</v>
      </c>
      <c r="I50" s="70" t="str">
        <f aca="false">IF($A50="","",IF(N($H50)&lt;=0,"SIN STOCK",IF(LEFT($C50,6)="Anillo",IF(IF(AND(SUMIFS(Compras!$D$6:$D$605,Compras!$B$6:$B$605,$A50,Compras!$C$6:$C$605,"Chico")&gt;0,N($E50)&lt;=$B$5),"C ","")&amp;IF(AND(SUMIFS(Compras!$D$6:$D$605,Compras!$B$6:$B$605,$A50,Compras!$C$6:$C$605,"Mediano")&gt;0,N($F50)&lt;=$B$5),"M ","")&amp;IF(AND(SUMIFS(Compras!$D$6:$D$605,Compras!$B$6:$B$605,$A50,Compras!$C$6:$C$605,"Grande")&gt;0,N($G50)&lt;=$B$5),"G","")="","","Reponer "&amp;IF(AND(SUMIFS(Compras!$D$6:$D$605,Compras!$B$6:$B$605,$A50,Compras!$C$6:$C$605,"Chico")&gt;0,N($E50)&lt;=$B$5),"C ","")&amp;IF(AND(SUMIFS(Compras!$D$6:$D$605,Compras!$B$6:$B$605,$A50,Compras!$C$6:$C$605,"Mediano")&gt;0,N($F50)&lt;=$B$5),"M ","")&amp;IF(AND(SUMIFS(Compras!$D$6:$D$605,Compras!$B$6:$B$605,$A50,Compras!$C$6:$C$605,"Grande")&gt;0,N($G50)&lt;=$B$5),"G","")),IF(N($H50)&lt;=$B$5,"REPONER",""))))</f>
        <v/>
      </c>
      <c r="J50" s="69" t="n">
        <f aca="false">IF($A50="","",SUMIFS(Ventas!$D$6:$D$605,Ventas!$B$6:$B$605,$A50))</f>
        <v>1</v>
      </c>
      <c r="K50" s="45" t="n">
        <f aca="false">IF($A50="","",SUMIFS(Ventas!$F$6:$F$605,Ventas!$B$6:$B$605,$A50))</f>
        <v>23500</v>
      </c>
    </row>
    <row r="51" customFormat="false" ht="15.75" hidden="false" customHeight="true" outlineLevel="0" collapsed="false">
      <c r="A51" s="67" t="str">
        <f aca="false">IF(Costos!$A65="","",Costos!$A65)</f>
        <v>Anillo Vena</v>
      </c>
      <c r="B51" s="68" t="str">
        <f aca="false">IF(Costos!$A65="","",Costos!$B65&amp;"")</f>
        <v>Plata 925</v>
      </c>
      <c r="C51" s="68" t="str">
        <f aca="false">IF(Costos!$A65="","",Costos!$C65&amp;"")</f>
        <v>Anillo</v>
      </c>
      <c r="D51" s="69" t="n">
        <f aca="false">IF($A51="","",SUMIFS(Compras!$D$6:$D$605,Compras!$B$6:$B$605,$A51,Compras!$C$6:$C$605,"Único")-SUMIFS(Ventas!$D$6:$D$605,Ventas!$B$6:$B$605,$A51,Ventas!$C$6:$C$605,"Único"))</f>
        <v>0</v>
      </c>
      <c r="E51" s="69" t="n">
        <f aca="false">IF($A51="","",IF(LEFT($C51,6)="Anillo",SUMIFS(Compras!$D$6:$D$605,Compras!$B$6:$B$605,$A51,Compras!$C$6:$C$605,"Chico")-SUMIFS(Ventas!$D$6:$D$605,Ventas!$B$6:$B$605,$A51,Ventas!$C$6:$C$605,"Chico"),""))</f>
        <v>0</v>
      </c>
      <c r="F51" s="69" t="n">
        <f aca="false">IF($A51="","",IF(LEFT($C51,6)="Anillo",SUMIFS(Compras!$D$6:$D$605,Compras!$B$6:$B$605,$A51,Compras!$C$6:$C$605,"Mediano")-SUMIFS(Ventas!$D$6:$D$605,Ventas!$B$6:$B$605,$A51,Ventas!$C$6:$C$605,"Mediano"),""))</f>
        <v>0</v>
      </c>
      <c r="G51" s="69" t="n">
        <f aca="false">IF($A51="","",IF(LEFT($C51,6)="Anillo",SUMIFS(Compras!$D$6:$D$605,Compras!$B$6:$B$605,$A51,Compras!$C$6:$C$605,"Grande")-SUMIFS(Ventas!$D$6:$D$605,Ventas!$B$6:$B$605,$A51,Ventas!$C$6:$C$605,"Grande"),""))</f>
        <v>0</v>
      </c>
      <c r="H51" s="69" t="n">
        <f aca="false">IF($A51="","",N($D51)+N($E51)+N($F51)+N($G51))</f>
        <v>0</v>
      </c>
      <c r="I51" s="70" t="str">
        <f aca="false">IF($A51="","",IF(N($H51)&lt;=0,"SIN STOCK",IF(LEFT($C51,6)="Anillo",IF(IF(AND(SUMIFS(Compras!$D$6:$D$605,Compras!$B$6:$B$605,$A51,Compras!$C$6:$C$605,"Chico")&gt;0,N($E51)&lt;=$B$5),"C ","")&amp;IF(AND(SUMIFS(Compras!$D$6:$D$605,Compras!$B$6:$B$605,$A51,Compras!$C$6:$C$605,"Mediano")&gt;0,N($F51)&lt;=$B$5),"M ","")&amp;IF(AND(SUMIFS(Compras!$D$6:$D$605,Compras!$B$6:$B$605,$A51,Compras!$C$6:$C$605,"Grande")&gt;0,N($G51)&lt;=$B$5),"G","")="","","Reponer "&amp;IF(AND(SUMIFS(Compras!$D$6:$D$605,Compras!$B$6:$B$605,$A51,Compras!$C$6:$C$605,"Chico")&gt;0,N($E51)&lt;=$B$5),"C ","")&amp;IF(AND(SUMIFS(Compras!$D$6:$D$605,Compras!$B$6:$B$605,$A51,Compras!$C$6:$C$605,"Mediano")&gt;0,N($F51)&lt;=$B$5),"M ","")&amp;IF(AND(SUMIFS(Compras!$D$6:$D$605,Compras!$B$6:$B$605,$A51,Compras!$C$6:$C$605,"Grande")&gt;0,N($G51)&lt;=$B$5),"G","")),IF(N($H51)&lt;=$B$5,"REPONER",""))))</f>
        <v>SIN STOCK</v>
      </c>
      <c r="J51" s="69" t="n">
        <f aca="false">IF($A51="","",SUMIFS(Ventas!$D$6:$D$605,Ventas!$B$6:$B$605,$A51))</f>
        <v>1</v>
      </c>
      <c r="K51" s="45" t="n">
        <f aca="false">IF($A51="","",SUMIFS(Ventas!$F$6:$F$605,Ventas!$B$6:$B$605,$A51))</f>
        <v>25000</v>
      </c>
    </row>
    <row r="52" customFormat="false" ht="15.75" hidden="false" customHeight="true" outlineLevel="0" collapsed="false">
      <c r="A52" s="67" t="str">
        <f aca="false">IF(Costos!$A66="","",Costos!$A66)</f>
        <v>Anillo Deriva</v>
      </c>
      <c r="B52" s="68" t="str">
        <f aca="false">IF(Costos!$A66="","",Costos!$B66&amp;"")</f>
        <v>Plata 925</v>
      </c>
      <c r="C52" s="68" t="str">
        <f aca="false">IF(Costos!$A66="","",Costos!$C66&amp;"")</f>
        <v>Anillo</v>
      </c>
      <c r="D52" s="69" t="n">
        <f aca="false">IF($A52="","",SUMIFS(Compras!$D$6:$D$605,Compras!$B$6:$B$605,$A52,Compras!$C$6:$C$605,"Único")-SUMIFS(Ventas!$D$6:$D$605,Ventas!$B$6:$B$605,$A52,Ventas!$C$6:$C$605,"Único"))</f>
        <v>0</v>
      </c>
      <c r="E52" s="69" t="n">
        <f aca="false">IF($A52="","",IF(LEFT($C52,6)="Anillo",SUMIFS(Compras!$D$6:$D$605,Compras!$B$6:$B$605,$A52,Compras!$C$6:$C$605,"Chico")-SUMIFS(Ventas!$D$6:$D$605,Ventas!$B$6:$B$605,$A52,Ventas!$C$6:$C$605,"Chico"),""))</f>
        <v>0</v>
      </c>
      <c r="F52" s="69" t="n">
        <f aca="false">IF($A52="","",IF(LEFT($C52,6)="Anillo",SUMIFS(Compras!$D$6:$D$605,Compras!$B$6:$B$605,$A52,Compras!$C$6:$C$605,"Mediano")-SUMIFS(Ventas!$D$6:$D$605,Ventas!$B$6:$B$605,$A52,Ventas!$C$6:$C$605,"Mediano"),""))</f>
        <v>0</v>
      </c>
      <c r="G52" s="69" t="n">
        <f aca="false">IF($A52="","",IF(LEFT($C52,6)="Anillo",SUMIFS(Compras!$D$6:$D$605,Compras!$B$6:$B$605,$A52,Compras!$C$6:$C$605,"Grande")-SUMIFS(Ventas!$D$6:$D$605,Ventas!$B$6:$B$605,$A52,Ventas!$C$6:$C$605,"Grande"),""))</f>
        <v>0</v>
      </c>
      <c r="H52" s="69" t="n">
        <f aca="false">IF($A52="","",N($D52)+N($E52)+N($F52)+N($G52))</f>
        <v>0</v>
      </c>
      <c r="I52" s="70" t="str">
        <f aca="false">IF($A52="","",IF(N($H52)&lt;=0,"SIN STOCK",IF(LEFT($C52,6)="Anillo",IF(IF(AND(SUMIFS(Compras!$D$6:$D$605,Compras!$B$6:$B$605,$A52,Compras!$C$6:$C$605,"Chico")&gt;0,N($E52)&lt;=$B$5),"C ","")&amp;IF(AND(SUMIFS(Compras!$D$6:$D$605,Compras!$B$6:$B$605,$A52,Compras!$C$6:$C$605,"Mediano")&gt;0,N($F52)&lt;=$B$5),"M ","")&amp;IF(AND(SUMIFS(Compras!$D$6:$D$605,Compras!$B$6:$B$605,$A52,Compras!$C$6:$C$605,"Grande")&gt;0,N($G52)&lt;=$B$5),"G","")="","","Reponer "&amp;IF(AND(SUMIFS(Compras!$D$6:$D$605,Compras!$B$6:$B$605,$A52,Compras!$C$6:$C$605,"Chico")&gt;0,N($E52)&lt;=$B$5),"C ","")&amp;IF(AND(SUMIFS(Compras!$D$6:$D$605,Compras!$B$6:$B$605,$A52,Compras!$C$6:$C$605,"Mediano")&gt;0,N($F52)&lt;=$B$5),"M ","")&amp;IF(AND(SUMIFS(Compras!$D$6:$D$605,Compras!$B$6:$B$605,$A52,Compras!$C$6:$C$605,"Grande")&gt;0,N($G52)&lt;=$B$5),"G","")),IF(N($H52)&lt;=$B$5,"REPONER",""))))</f>
        <v>SIN STOCK</v>
      </c>
      <c r="J52" s="69" t="n">
        <f aca="false">IF($A52="","",SUMIFS(Ventas!$D$6:$D$605,Ventas!$B$6:$B$605,$A52))</f>
        <v>1</v>
      </c>
      <c r="K52" s="45" t="n">
        <f aca="false">IF($A52="","",SUMIFS(Ventas!$F$6:$F$605,Ventas!$B$6:$B$605,$A52))</f>
        <v>25500</v>
      </c>
    </row>
    <row r="53" customFormat="false" ht="15.75" hidden="false" customHeight="true" outlineLevel="0" collapsed="false">
      <c r="A53" s="67" t="str">
        <f aca="false">IF(Costos!$A67="","",Costos!$A67)</f>
        <v>Anillo Sin Fin</v>
      </c>
      <c r="B53" s="68" t="str">
        <f aca="false">IF(Costos!$A67="","",Costos!$B67&amp;"")</f>
        <v>Plata 925</v>
      </c>
      <c r="C53" s="68" t="str">
        <f aca="false">IF(Costos!$A67="","",Costos!$C67&amp;"")</f>
        <v>Anillo</v>
      </c>
      <c r="D53" s="69" t="n">
        <f aca="false">IF($A53="","",SUMIFS(Compras!$D$6:$D$605,Compras!$B$6:$B$605,$A53,Compras!$C$6:$C$605,"Único")-SUMIFS(Ventas!$D$6:$D$605,Ventas!$B$6:$B$605,$A53,Ventas!$C$6:$C$605,"Único"))</f>
        <v>0</v>
      </c>
      <c r="E53" s="69" t="n">
        <f aca="false">IF($A53="","",IF(LEFT($C53,6)="Anillo",SUMIFS(Compras!$D$6:$D$605,Compras!$B$6:$B$605,$A53,Compras!$C$6:$C$605,"Chico")-SUMIFS(Ventas!$D$6:$D$605,Ventas!$B$6:$B$605,$A53,Ventas!$C$6:$C$605,"Chico"),""))</f>
        <v>0</v>
      </c>
      <c r="F53" s="69" t="n">
        <f aca="false">IF($A53="","",IF(LEFT($C53,6)="Anillo",SUMIFS(Compras!$D$6:$D$605,Compras!$B$6:$B$605,$A53,Compras!$C$6:$C$605,"Mediano")-SUMIFS(Ventas!$D$6:$D$605,Ventas!$B$6:$B$605,$A53,Ventas!$C$6:$C$605,"Mediano"),""))</f>
        <v>1</v>
      </c>
      <c r="G53" s="69" t="n">
        <f aca="false">IF($A53="","",IF(LEFT($C53,6)="Anillo",SUMIFS(Compras!$D$6:$D$605,Compras!$B$6:$B$605,$A53,Compras!$C$6:$C$605,"Grande")-SUMIFS(Ventas!$D$6:$D$605,Ventas!$B$6:$B$605,$A53,Ventas!$C$6:$C$605,"Grande"),""))</f>
        <v>0</v>
      </c>
      <c r="H53" s="69" t="n">
        <f aca="false">IF($A53="","",N($D53)+N($E53)+N($F53)+N($G53))</f>
        <v>1</v>
      </c>
      <c r="I53" s="70" t="str">
        <f aca="false">IF($A53="","",IF(N($H53)&lt;=0,"SIN STOCK",IF(LEFT($C53,6)="Anillo",IF(IF(AND(SUMIFS(Compras!$D$6:$D$605,Compras!$B$6:$B$605,$A53,Compras!$C$6:$C$605,"Chico")&gt;0,N($E53)&lt;=$B$5),"C ","")&amp;IF(AND(SUMIFS(Compras!$D$6:$D$605,Compras!$B$6:$B$605,$A53,Compras!$C$6:$C$605,"Mediano")&gt;0,N($F53)&lt;=$B$5),"M ","")&amp;IF(AND(SUMIFS(Compras!$D$6:$D$605,Compras!$B$6:$B$605,$A53,Compras!$C$6:$C$605,"Grande")&gt;0,N($G53)&lt;=$B$5),"G","")="","","Reponer "&amp;IF(AND(SUMIFS(Compras!$D$6:$D$605,Compras!$B$6:$B$605,$A53,Compras!$C$6:$C$605,"Chico")&gt;0,N($E53)&lt;=$B$5),"C ","")&amp;IF(AND(SUMIFS(Compras!$D$6:$D$605,Compras!$B$6:$B$605,$A53,Compras!$C$6:$C$605,"Mediano")&gt;0,N($F53)&lt;=$B$5),"M ","")&amp;IF(AND(SUMIFS(Compras!$D$6:$D$605,Compras!$B$6:$B$605,$A53,Compras!$C$6:$C$605,"Grande")&gt;0,N($G53)&lt;=$B$5),"G","")),IF(N($H53)&lt;=$B$5,"REPONER",""))))</f>
        <v>Reponer M </v>
      </c>
      <c r="J53" s="69" t="n">
        <f aca="false">IF($A53="","",SUMIFS(Ventas!$D$6:$D$605,Ventas!$B$6:$B$605,$A53))</f>
        <v>5</v>
      </c>
      <c r="K53" s="45" t="n">
        <f aca="false">IF($A53="","",SUMIFS(Ventas!$F$6:$F$605,Ventas!$B$6:$B$605,$A53))</f>
        <v>100000</v>
      </c>
    </row>
    <row r="54" customFormat="false" ht="15.75" hidden="false" customHeight="true" outlineLevel="0" collapsed="false">
      <c r="A54" s="67" t="str">
        <f aca="false">IF(Costos!$A68="","",Costos!$A68)</f>
        <v>Collar Muna Circulo</v>
      </c>
      <c r="B54" s="68" t="str">
        <f aca="false">IF(Costos!$A68="","",Costos!$B68&amp;"")</f>
        <v>Plata 925</v>
      </c>
      <c r="C54" s="68" t="str">
        <f aca="false">IF(Costos!$A68="","",Costos!$C68&amp;"")</f>
        <v>Collar</v>
      </c>
      <c r="D54" s="69" t="n">
        <f aca="false">IF($A54="","",SUMIFS(Compras!$D$6:$D$605,Compras!$B$6:$B$605,$A54,Compras!$C$6:$C$605,"Único")-SUMIFS(Ventas!$D$6:$D$605,Ventas!$B$6:$B$605,$A54,Ventas!$C$6:$C$605,"Único"))</f>
        <v>1</v>
      </c>
      <c r="E54" s="69" t="str">
        <f aca="false">IF($A54="","",IF(LEFT($C54,6)="Anillo",SUMIFS(Compras!$D$6:$D$605,Compras!$B$6:$B$605,$A54,Compras!$C$6:$C$605,"Chico")-SUMIFS(Ventas!$D$6:$D$605,Ventas!$B$6:$B$605,$A54,Ventas!$C$6:$C$605,"Chico"),""))</f>
        <v/>
      </c>
      <c r="F54" s="69" t="str">
        <f aca="false">IF($A54="","",IF(LEFT($C54,6)="Anillo",SUMIFS(Compras!$D$6:$D$605,Compras!$B$6:$B$605,$A54,Compras!$C$6:$C$605,"Mediano")-SUMIFS(Ventas!$D$6:$D$605,Ventas!$B$6:$B$605,$A54,Ventas!$C$6:$C$605,"Mediano"),""))</f>
        <v/>
      </c>
      <c r="G54" s="69" t="str">
        <f aca="false">IF($A54="","",IF(LEFT($C54,6)="Anillo",SUMIFS(Compras!$D$6:$D$605,Compras!$B$6:$B$605,$A54,Compras!$C$6:$C$605,"Grande")-SUMIFS(Ventas!$D$6:$D$605,Ventas!$B$6:$B$605,$A54,Ventas!$C$6:$C$605,"Grande"),""))</f>
        <v/>
      </c>
      <c r="H54" s="69" t="n">
        <f aca="false">IF($A54="","",N($D54)+N($E54)+N($F54)+N($G54))</f>
        <v>1</v>
      </c>
      <c r="I54" s="70" t="str">
        <f aca="false">IF($A54="","",IF(N($H54)&lt;=0,"SIN STOCK",IF(LEFT($C54,6)="Anillo",IF(IF(AND(SUMIFS(Compras!$D$6:$D$605,Compras!$B$6:$B$605,$A54,Compras!$C$6:$C$605,"Chico")&gt;0,N($E54)&lt;=$B$5),"C ","")&amp;IF(AND(SUMIFS(Compras!$D$6:$D$605,Compras!$B$6:$B$605,$A54,Compras!$C$6:$C$605,"Mediano")&gt;0,N($F54)&lt;=$B$5),"M ","")&amp;IF(AND(SUMIFS(Compras!$D$6:$D$605,Compras!$B$6:$B$605,$A54,Compras!$C$6:$C$605,"Grande")&gt;0,N($G54)&lt;=$B$5),"G","")="","","Reponer "&amp;IF(AND(SUMIFS(Compras!$D$6:$D$605,Compras!$B$6:$B$605,$A54,Compras!$C$6:$C$605,"Chico")&gt;0,N($E54)&lt;=$B$5),"C ","")&amp;IF(AND(SUMIFS(Compras!$D$6:$D$605,Compras!$B$6:$B$605,$A54,Compras!$C$6:$C$605,"Mediano")&gt;0,N($F54)&lt;=$B$5),"M ","")&amp;IF(AND(SUMIFS(Compras!$D$6:$D$605,Compras!$B$6:$B$605,$A54,Compras!$C$6:$C$605,"Grande")&gt;0,N($G54)&lt;=$B$5),"G","")),IF(N($H54)&lt;=$B$5,"REPONER",""))))</f>
        <v>REPONER</v>
      </c>
      <c r="J54" s="69" t="n">
        <f aca="false">IF($A54="","",SUMIFS(Ventas!$D$6:$D$605,Ventas!$B$6:$B$605,$A54))</f>
        <v>1</v>
      </c>
      <c r="K54" s="45" t="n">
        <f aca="false">IF($A54="","",SUMIFS(Ventas!$F$6:$F$605,Ventas!$B$6:$B$605,$A54))</f>
        <v>30000</v>
      </c>
    </row>
    <row r="55" customFormat="false" ht="15.75" hidden="false" customHeight="true" outlineLevel="0" collapsed="false">
      <c r="A55" s="67" t="str">
        <f aca="false">IF(Costos!$A69="","",Costos!$A69)</f>
        <v>Collar Muna Corazón</v>
      </c>
      <c r="B55" s="68" t="str">
        <f aca="false">IF(Costos!$A69="","",Costos!$B69&amp;"")</f>
        <v>Plata 925</v>
      </c>
      <c r="C55" s="68" t="str">
        <f aca="false">IF(Costos!$A69="","",Costos!$C69&amp;"")</f>
        <v>Collar</v>
      </c>
      <c r="D55" s="69" t="n">
        <f aca="false">IF($A55="","",SUMIFS(Compras!$D$6:$D$605,Compras!$B$6:$B$605,$A55,Compras!$C$6:$C$605,"Único")-SUMIFS(Ventas!$D$6:$D$605,Ventas!$B$6:$B$605,$A55,Ventas!$C$6:$C$605,"Único"))</f>
        <v>1</v>
      </c>
      <c r="E55" s="69" t="str">
        <f aca="false">IF($A55="","",IF(LEFT($C55,6)="Anillo",SUMIFS(Compras!$D$6:$D$605,Compras!$B$6:$B$605,$A55,Compras!$C$6:$C$605,"Chico")-SUMIFS(Ventas!$D$6:$D$605,Ventas!$B$6:$B$605,$A55,Ventas!$C$6:$C$605,"Chico"),""))</f>
        <v/>
      </c>
      <c r="F55" s="69" t="str">
        <f aca="false">IF($A55="","",IF(LEFT($C55,6)="Anillo",SUMIFS(Compras!$D$6:$D$605,Compras!$B$6:$B$605,$A55,Compras!$C$6:$C$605,"Mediano")-SUMIFS(Ventas!$D$6:$D$605,Ventas!$B$6:$B$605,$A55,Ventas!$C$6:$C$605,"Mediano"),""))</f>
        <v/>
      </c>
      <c r="G55" s="69" t="str">
        <f aca="false">IF($A55="","",IF(LEFT($C55,6)="Anillo",SUMIFS(Compras!$D$6:$D$605,Compras!$B$6:$B$605,$A55,Compras!$C$6:$C$605,"Grande")-SUMIFS(Ventas!$D$6:$D$605,Ventas!$B$6:$B$605,$A55,Ventas!$C$6:$C$605,"Grande"),""))</f>
        <v/>
      </c>
      <c r="H55" s="69" t="n">
        <f aca="false">IF($A55="","",N($D55)+N($E55)+N($F55)+N($G55))</f>
        <v>1</v>
      </c>
      <c r="I55" s="70" t="str">
        <f aca="false">IF($A55="","",IF(N($H55)&lt;=0,"SIN STOCK",IF(LEFT($C55,6)="Anillo",IF(IF(AND(SUMIFS(Compras!$D$6:$D$605,Compras!$B$6:$B$605,$A55,Compras!$C$6:$C$605,"Chico")&gt;0,N($E55)&lt;=$B$5),"C ","")&amp;IF(AND(SUMIFS(Compras!$D$6:$D$605,Compras!$B$6:$B$605,$A55,Compras!$C$6:$C$605,"Mediano")&gt;0,N($F55)&lt;=$B$5),"M ","")&amp;IF(AND(SUMIFS(Compras!$D$6:$D$605,Compras!$B$6:$B$605,$A55,Compras!$C$6:$C$605,"Grande")&gt;0,N($G55)&lt;=$B$5),"G","")="","","Reponer "&amp;IF(AND(SUMIFS(Compras!$D$6:$D$605,Compras!$B$6:$B$605,$A55,Compras!$C$6:$C$605,"Chico")&gt;0,N($E55)&lt;=$B$5),"C ","")&amp;IF(AND(SUMIFS(Compras!$D$6:$D$605,Compras!$B$6:$B$605,$A55,Compras!$C$6:$C$605,"Mediano")&gt;0,N($F55)&lt;=$B$5),"M ","")&amp;IF(AND(SUMIFS(Compras!$D$6:$D$605,Compras!$B$6:$B$605,$A55,Compras!$C$6:$C$605,"Grande")&gt;0,N($G55)&lt;=$B$5),"G","")),IF(N($H55)&lt;=$B$5,"REPONER",""))))</f>
        <v>REPONER</v>
      </c>
      <c r="J55" s="69" t="n">
        <f aca="false">IF($A55="","",SUMIFS(Ventas!$D$6:$D$605,Ventas!$B$6:$B$605,$A55))</f>
        <v>1</v>
      </c>
      <c r="K55" s="45" t="n">
        <f aca="false">IF($A55="","",SUMIFS(Ventas!$F$6:$F$605,Ventas!$B$6:$B$605,$A55))</f>
        <v>31000</v>
      </c>
    </row>
    <row r="56" customFormat="false" ht="15.75" hidden="false" customHeight="true" outlineLevel="0" collapsed="false">
      <c r="A56" s="67" t="str">
        <f aca="false">IF(Costos!$A70="","",Costos!$A70)</f>
        <v>Collar Fino Circulo</v>
      </c>
      <c r="B56" s="68" t="str">
        <f aca="false">IF(Costos!$A70="","",Costos!$B70&amp;"")</f>
        <v>Plata 925</v>
      </c>
      <c r="C56" s="68" t="str">
        <f aca="false">IF(Costos!$A70="","",Costos!$C70&amp;"")</f>
        <v>Collar</v>
      </c>
      <c r="D56" s="69" t="n">
        <f aca="false">IF($A56="","",SUMIFS(Compras!$D$6:$D$605,Compras!$B$6:$B$605,$A56,Compras!$C$6:$C$605,"Único")-SUMIFS(Ventas!$D$6:$D$605,Ventas!$B$6:$B$605,$A56,Ventas!$C$6:$C$605,"Único"))</f>
        <v>0</v>
      </c>
      <c r="E56" s="69" t="str">
        <f aca="false">IF($A56="","",IF(LEFT($C56,6)="Anillo",SUMIFS(Compras!$D$6:$D$605,Compras!$B$6:$B$605,$A56,Compras!$C$6:$C$605,"Chico")-SUMIFS(Ventas!$D$6:$D$605,Ventas!$B$6:$B$605,$A56,Ventas!$C$6:$C$605,"Chico"),""))</f>
        <v/>
      </c>
      <c r="F56" s="69" t="str">
        <f aca="false">IF($A56="","",IF(LEFT($C56,6)="Anillo",SUMIFS(Compras!$D$6:$D$605,Compras!$B$6:$B$605,$A56,Compras!$C$6:$C$605,"Mediano")-SUMIFS(Ventas!$D$6:$D$605,Ventas!$B$6:$B$605,$A56,Ventas!$C$6:$C$605,"Mediano"),""))</f>
        <v/>
      </c>
      <c r="G56" s="69" t="str">
        <f aca="false">IF($A56="","",IF(LEFT($C56,6)="Anillo",SUMIFS(Compras!$D$6:$D$605,Compras!$B$6:$B$605,$A56,Compras!$C$6:$C$605,"Grande")-SUMIFS(Ventas!$D$6:$D$605,Ventas!$B$6:$B$605,$A56,Ventas!$C$6:$C$605,"Grande"),""))</f>
        <v/>
      </c>
      <c r="H56" s="69" t="n">
        <f aca="false">IF($A56="","",N($D56)+N($E56)+N($F56)+N($G56))</f>
        <v>0</v>
      </c>
      <c r="I56" s="70" t="str">
        <f aca="false">IF($A56="","",IF(N($H56)&lt;=0,"SIN STOCK",IF(LEFT($C56,6)="Anillo",IF(IF(AND(SUMIFS(Compras!$D$6:$D$605,Compras!$B$6:$B$605,$A56,Compras!$C$6:$C$605,"Chico")&gt;0,N($E56)&lt;=$B$5),"C ","")&amp;IF(AND(SUMIFS(Compras!$D$6:$D$605,Compras!$B$6:$B$605,$A56,Compras!$C$6:$C$605,"Mediano")&gt;0,N($F56)&lt;=$B$5),"M ","")&amp;IF(AND(SUMIFS(Compras!$D$6:$D$605,Compras!$B$6:$B$605,$A56,Compras!$C$6:$C$605,"Grande")&gt;0,N($G56)&lt;=$B$5),"G","")="","","Reponer "&amp;IF(AND(SUMIFS(Compras!$D$6:$D$605,Compras!$B$6:$B$605,$A56,Compras!$C$6:$C$605,"Chico")&gt;0,N($E56)&lt;=$B$5),"C ","")&amp;IF(AND(SUMIFS(Compras!$D$6:$D$605,Compras!$B$6:$B$605,$A56,Compras!$C$6:$C$605,"Mediano")&gt;0,N($F56)&lt;=$B$5),"M ","")&amp;IF(AND(SUMIFS(Compras!$D$6:$D$605,Compras!$B$6:$B$605,$A56,Compras!$C$6:$C$605,"Grande")&gt;0,N($G56)&lt;=$B$5),"G","")),IF(N($H56)&lt;=$B$5,"REPONER",""))))</f>
        <v>SIN STOCK</v>
      </c>
      <c r="J56" s="69" t="n">
        <f aca="false">IF($A56="","",SUMIFS(Ventas!$D$6:$D$605,Ventas!$B$6:$B$605,$A56))</f>
        <v>1</v>
      </c>
      <c r="K56" s="45" t="n">
        <f aca="false">IF($A56="","",SUMIFS(Ventas!$F$6:$F$605,Ventas!$B$6:$B$605,$A56))</f>
        <v>28000</v>
      </c>
    </row>
    <row r="57" customFormat="false" ht="15.75" hidden="false" customHeight="true" outlineLevel="0" collapsed="false">
      <c r="A57" s="67" t="str">
        <f aca="false">IF(Costos!$A71="","",Costos!$A71)</f>
        <v/>
      </c>
      <c r="B57" s="68" t="str">
        <f aca="false">IF(Costos!$A71="","",Costos!$B71&amp;"")</f>
        <v/>
      </c>
      <c r="C57" s="68" t="str">
        <f aca="false">IF(Costos!$A71="","",Costos!$C71&amp;"")</f>
        <v/>
      </c>
      <c r="D57" s="69" t="str">
        <f aca="false">IF($A57="","",SUMIFS(Compras!$D$6:$D$605,Compras!$B$6:$B$605,$A57,Compras!$C$6:$C$605,"Único")-SUMIFS(Ventas!$D$6:$D$605,Ventas!$B$6:$B$605,$A57,Ventas!$C$6:$C$605,"Único"))</f>
        <v/>
      </c>
      <c r="E57" s="69" t="str">
        <f aca="false">IF($A57="","",IF(LEFT($C57,6)="Anillo",SUMIFS(Compras!$D$6:$D$605,Compras!$B$6:$B$605,$A57,Compras!$C$6:$C$605,"Chico")-SUMIFS(Ventas!$D$6:$D$605,Ventas!$B$6:$B$605,$A57,Ventas!$C$6:$C$605,"Chico"),""))</f>
        <v/>
      </c>
      <c r="F57" s="69" t="str">
        <f aca="false">IF($A57="","",IF(LEFT($C57,6)="Anillo",SUMIFS(Compras!$D$6:$D$605,Compras!$B$6:$B$605,$A57,Compras!$C$6:$C$605,"Mediano")-SUMIFS(Ventas!$D$6:$D$605,Ventas!$B$6:$B$605,$A57,Ventas!$C$6:$C$605,"Mediano"),""))</f>
        <v/>
      </c>
      <c r="G57" s="69" t="str">
        <f aca="false">IF($A57="","",IF(LEFT($C57,6)="Anillo",SUMIFS(Compras!$D$6:$D$605,Compras!$B$6:$B$605,$A57,Compras!$C$6:$C$605,"Grande")-SUMIFS(Ventas!$D$6:$D$605,Ventas!$B$6:$B$605,$A57,Ventas!$C$6:$C$605,"Grande"),""))</f>
        <v/>
      </c>
      <c r="H57" s="69" t="str">
        <f aca="false">IF($A57="","",N($D57)+N($E57)+N($F57)+N($G57))</f>
        <v/>
      </c>
      <c r="I57" s="70" t="str">
        <f aca="false">IF($A57="","",IF(N($H57)&lt;=0,"SIN STOCK",IF(LEFT($C57,6)="Anillo",IF(IF(AND(SUMIFS(Compras!$D$6:$D$605,Compras!$B$6:$B$605,$A57,Compras!$C$6:$C$605,"Chico")&gt;0,N($E57)&lt;=$B$5),"C ","")&amp;IF(AND(SUMIFS(Compras!$D$6:$D$605,Compras!$B$6:$B$605,$A57,Compras!$C$6:$C$605,"Mediano")&gt;0,N($F57)&lt;=$B$5),"M ","")&amp;IF(AND(SUMIFS(Compras!$D$6:$D$605,Compras!$B$6:$B$605,$A57,Compras!$C$6:$C$605,"Grande")&gt;0,N($G57)&lt;=$B$5),"G","")="","","Reponer "&amp;IF(AND(SUMIFS(Compras!$D$6:$D$605,Compras!$B$6:$B$605,$A57,Compras!$C$6:$C$605,"Chico")&gt;0,N($E57)&lt;=$B$5),"C ","")&amp;IF(AND(SUMIFS(Compras!$D$6:$D$605,Compras!$B$6:$B$605,$A57,Compras!$C$6:$C$605,"Mediano")&gt;0,N($F57)&lt;=$B$5),"M ","")&amp;IF(AND(SUMIFS(Compras!$D$6:$D$605,Compras!$B$6:$B$605,$A57,Compras!$C$6:$C$605,"Grande")&gt;0,N($G57)&lt;=$B$5),"G","")),IF(N($H57)&lt;=$B$5,"REPONER",""))))</f>
        <v/>
      </c>
      <c r="J57" s="69" t="str">
        <f aca="false">IF($A57="","",SUMIFS(Ventas!$D$6:$D$605,Ventas!$B$6:$B$605,$A57))</f>
        <v/>
      </c>
      <c r="K57" s="45" t="str">
        <f aca="false">IF($A57="","",SUMIFS(Ventas!$F$6:$F$605,Ventas!$B$6:$B$605,$A57))</f>
        <v/>
      </c>
    </row>
    <row r="58" customFormat="false" ht="15.75" hidden="false" customHeight="true" outlineLevel="0" collapsed="false">
      <c r="A58" s="67" t="str">
        <f aca="false">IF(Costos!$A72="","",Costos!$A72)</f>
        <v>Anillo Cala</v>
      </c>
      <c r="B58" s="68" t="str">
        <f aca="false">IF(Costos!$A72="","",Costos!$B72&amp;"")</f>
        <v>Acero dorado</v>
      </c>
      <c r="C58" s="68" t="str">
        <f aca="false">IF(Costos!$A72="","",Costos!$C72&amp;"")</f>
        <v>Anillo</v>
      </c>
      <c r="D58" s="69" t="n">
        <f aca="false">IF($A58="","",SUMIFS(Compras!$D$6:$D$605,Compras!$B$6:$B$605,$A58,Compras!$C$6:$C$605,"Único")-SUMIFS(Ventas!$D$6:$D$605,Ventas!$B$6:$B$605,$A58,Ventas!$C$6:$C$605,"Único"))</f>
        <v>0</v>
      </c>
      <c r="E58" s="69" t="n">
        <f aca="false">IF($A58="","",IF(LEFT($C58,6)="Anillo",SUMIFS(Compras!$D$6:$D$605,Compras!$B$6:$B$605,$A58,Compras!$C$6:$C$605,"Chico")-SUMIFS(Ventas!$D$6:$D$605,Ventas!$B$6:$B$605,$A58,Ventas!$C$6:$C$605,"Chico"),""))</f>
        <v>1</v>
      </c>
      <c r="F58" s="69" t="n">
        <f aca="false">IF($A58="","",IF(LEFT($C58,6)="Anillo",SUMIFS(Compras!$D$6:$D$605,Compras!$B$6:$B$605,$A58,Compras!$C$6:$C$605,"Mediano")-SUMIFS(Ventas!$D$6:$D$605,Ventas!$B$6:$B$605,$A58,Ventas!$C$6:$C$605,"Mediano"),""))</f>
        <v>1</v>
      </c>
      <c r="G58" s="69" t="n">
        <f aca="false">IF($A58="","",IF(LEFT($C58,6)="Anillo",SUMIFS(Compras!$D$6:$D$605,Compras!$B$6:$B$605,$A58,Compras!$C$6:$C$605,"Grande")-SUMIFS(Ventas!$D$6:$D$605,Ventas!$B$6:$B$605,$A58,Ventas!$C$6:$C$605,"Grande"),""))</f>
        <v>0</v>
      </c>
      <c r="H58" s="69" t="n">
        <f aca="false">IF($A58="","",N($D58)+N($E58)+N($F58)+N($G58))</f>
        <v>2</v>
      </c>
      <c r="I58" s="70" t="str">
        <f aca="false">IF($A58="","",IF(N($H58)&lt;=0,"SIN STOCK",IF(LEFT($C58,6)="Anillo",IF(IF(AND(SUMIFS(Compras!$D$6:$D$605,Compras!$B$6:$B$605,$A58,Compras!$C$6:$C$605,"Chico")&gt;0,N($E58)&lt;=$B$5),"C ","")&amp;IF(AND(SUMIFS(Compras!$D$6:$D$605,Compras!$B$6:$B$605,$A58,Compras!$C$6:$C$605,"Mediano")&gt;0,N($F58)&lt;=$B$5),"M ","")&amp;IF(AND(SUMIFS(Compras!$D$6:$D$605,Compras!$B$6:$B$605,$A58,Compras!$C$6:$C$605,"Grande")&gt;0,N($G58)&lt;=$B$5),"G","")="","","Reponer "&amp;IF(AND(SUMIFS(Compras!$D$6:$D$605,Compras!$B$6:$B$605,$A58,Compras!$C$6:$C$605,"Chico")&gt;0,N($E58)&lt;=$B$5),"C ","")&amp;IF(AND(SUMIFS(Compras!$D$6:$D$605,Compras!$B$6:$B$605,$A58,Compras!$C$6:$C$605,"Mediano")&gt;0,N($F58)&lt;=$B$5),"M ","")&amp;IF(AND(SUMIFS(Compras!$D$6:$D$605,Compras!$B$6:$B$605,$A58,Compras!$C$6:$C$605,"Grande")&gt;0,N($G58)&lt;=$B$5),"G","")),IF(N($H58)&lt;=$B$5,"REPONER",""))))</f>
        <v>Reponer C M </v>
      </c>
      <c r="J58" s="69" t="n">
        <f aca="false">IF($A58="","",SUMIFS(Ventas!$D$6:$D$605,Ventas!$B$6:$B$605,$A58))</f>
        <v>0</v>
      </c>
      <c r="K58" s="45" t="n">
        <f aca="false">IF($A58="","",SUMIFS(Ventas!$F$6:$F$605,Ventas!$B$6:$B$605,$A58))</f>
        <v>0</v>
      </c>
    </row>
    <row r="59" customFormat="false" ht="15.75" hidden="false" customHeight="true" outlineLevel="0" collapsed="false">
      <c r="A59" s="67" t="str">
        <f aca="false">IF(Costos!$A73="","",Costos!$A73)</f>
        <v>Anillo Malvina Dorado</v>
      </c>
      <c r="B59" s="68" t="str">
        <f aca="false">IF(Costos!$A73="","",Costos!$B73&amp;"")</f>
        <v>Acero dorado</v>
      </c>
      <c r="C59" s="68" t="str">
        <f aca="false">IF(Costos!$A73="","",Costos!$C73&amp;"")</f>
        <v>Anillo</v>
      </c>
      <c r="D59" s="69" t="n">
        <f aca="false">IF($A59="","",SUMIFS(Compras!$D$6:$D$605,Compras!$B$6:$B$605,$A59,Compras!$C$6:$C$605,"Único")-SUMIFS(Ventas!$D$6:$D$605,Ventas!$B$6:$B$605,$A59,Ventas!$C$6:$C$605,"Único"))</f>
        <v>2</v>
      </c>
      <c r="E59" s="69" t="n">
        <f aca="false">IF($A59="","",IF(LEFT($C59,6)="Anillo",SUMIFS(Compras!$D$6:$D$605,Compras!$B$6:$B$605,$A59,Compras!$C$6:$C$605,"Chico")-SUMIFS(Ventas!$D$6:$D$605,Ventas!$B$6:$B$605,$A59,Ventas!$C$6:$C$605,"Chico"),""))</f>
        <v>0</v>
      </c>
      <c r="F59" s="69" t="n">
        <f aca="false">IF($A59="","",IF(LEFT($C59,6)="Anillo",SUMIFS(Compras!$D$6:$D$605,Compras!$B$6:$B$605,$A59,Compras!$C$6:$C$605,"Mediano")-SUMIFS(Ventas!$D$6:$D$605,Ventas!$B$6:$B$605,$A59,Ventas!$C$6:$C$605,"Mediano"),""))</f>
        <v>0</v>
      </c>
      <c r="G59" s="69" t="n">
        <f aca="false">IF($A59="","",IF(LEFT($C59,6)="Anillo",SUMIFS(Compras!$D$6:$D$605,Compras!$B$6:$B$605,$A59,Compras!$C$6:$C$605,"Grande")-SUMIFS(Ventas!$D$6:$D$605,Ventas!$B$6:$B$605,$A59,Ventas!$C$6:$C$605,"Grande"),""))</f>
        <v>0</v>
      </c>
      <c r="H59" s="69" t="n">
        <f aca="false">IF($A59="","",N($D59)+N($E59)+N($F59)+N($G59))</f>
        <v>2</v>
      </c>
      <c r="I59" s="70" t="str">
        <f aca="false">IF($A59="","",IF(N($H59)&lt;=0,"SIN STOCK",IF(LEFT($C59,6)="Anillo",IF(IF(AND(SUMIFS(Compras!$D$6:$D$605,Compras!$B$6:$B$605,$A59,Compras!$C$6:$C$605,"Chico")&gt;0,N($E59)&lt;=$B$5),"C ","")&amp;IF(AND(SUMIFS(Compras!$D$6:$D$605,Compras!$B$6:$B$605,$A59,Compras!$C$6:$C$605,"Mediano")&gt;0,N($F59)&lt;=$B$5),"M ","")&amp;IF(AND(SUMIFS(Compras!$D$6:$D$605,Compras!$B$6:$B$605,$A59,Compras!$C$6:$C$605,"Grande")&gt;0,N($G59)&lt;=$B$5),"G","")="","","Reponer "&amp;IF(AND(SUMIFS(Compras!$D$6:$D$605,Compras!$B$6:$B$605,$A59,Compras!$C$6:$C$605,"Chico")&gt;0,N($E59)&lt;=$B$5),"C ","")&amp;IF(AND(SUMIFS(Compras!$D$6:$D$605,Compras!$B$6:$B$605,$A59,Compras!$C$6:$C$605,"Mediano")&gt;0,N($F59)&lt;=$B$5),"M ","")&amp;IF(AND(SUMIFS(Compras!$D$6:$D$605,Compras!$B$6:$B$605,$A59,Compras!$C$6:$C$605,"Grande")&gt;0,N($G59)&lt;=$B$5),"G","")),IF(N($H59)&lt;=$B$5,"REPONER",""))))</f>
        <v/>
      </c>
      <c r="J59" s="69" t="n">
        <f aca="false">IF($A59="","",SUMIFS(Ventas!$D$6:$D$605,Ventas!$B$6:$B$605,$A59))</f>
        <v>1</v>
      </c>
      <c r="K59" s="45" t="n">
        <f aca="false">IF($A59="","",SUMIFS(Ventas!$F$6:$F$605,Ventas!$B$6:$B$605,$A59))</f>
        <v>13000</v>
      </c>
    </row>
    <row r="60" customFormat="false" ht="15.75" hidden="false" customHeight="true" outlineLevel="0" collapsed="false">
      <c r="A60" s="67" t="str">
        <f aca="false">IF(Costos!$A74="","",Costos!$A74)</f>
        <v>Anillo Malvina Plateado</v>
      </c>
      <c r="B60" s="68" t="str">
        <f aca="false">IF(Costos!$A74="","",Costos!$B74&amp;"")</f>
        <v>Acero inoxidable</v>
      </c>
      <c r="C60" s="68" t="str">
        <f aca="false">IF(Costos!$A74="","",Costos!$C74&amp;"")</f>
        <v>Anillo</v>
      </c>
      <c r="D60" s="69" t="n">
        <f aca="false">IF($A60="","",SUMIFS(Compras!$D$6:$D$605,Compras!$B$6:$B$605,$A60,Compras!$C$6:$C$605,"Único")-SUMIFS(Ventas!$D$6:$D$605,Ventas!$B$6:$B$605,$A60,Ventas!$C$6:$C$605,"Único"))</f>
        <v>1</v>
      </c>
      <c r="E60" s="69" t="n">
        <f aca="false">IF($A60="","",IF(LEFT($C60,6)="Anillo",SUMIFS(Compras!$D$6:$D$605,Compras!$B$6:$B$605,$A60,Compras!$C$6:$C$605,"Chico")-SUMIFS(Ventas!$D$6:$D$605,Ventas!$B$6:$B$605,$A60,Ventas!$C$6:$C$605,"Chico"),""))</f>
        <v>0</v>
      </c>
      <c r="F60" s="69" t="n">
        <f aca="false">IF($A60="","",IF(LEFT($C60,6)="Anillo",SUMIFS(Compras!$D$6:$D$605,Compras!$B$6:$B$605,$A60,Compras!$C$6:$C$605,"Mediano")-SUMIFS(Ventas!$D$6:$D$605,Ventas!$B$6:$B$605,$A60,Ventas!$C$6:$C$605,"Mediano"),""))</f>
        <v>0</v>
      </c>
      <c r="G60" s="69" t="n">
        <f aca="false">IF($A60="","",IF(LEFT($C60,6)="Anillo",SUMIFS(Compras!$D$6:$D$605,Compras!$B$6:$B$605,$A60,Compras!$C$6:$C$605,"Grande")-SUMIFS(Ventas!$D$6:$D$605,Ventas!$B$6:$B$605,$A60,Ventas!$C$6:$C$605,"Grande"),""))</f>
        <v>0</v>
      </c>
      <c r="H60" s="69" t="n">
        <f aca="false">IF($A60="","",N($D60)+N($E60)+N($F60)+N($G60))</f>
        <v>1</v>
      </c>
      <c r="I60" s="70" t="str">
        <f aca="false">IF($A60="","",IF(N($H60)&lt;=0,"SIN STOCK",IF(LEFT($C60,6)="Anillo",IF(IF(AND(SUMIFS(Compras!$D$6:$D$605,Compras!$B$6:$B$605,$A60,Compras!$C$6:$C$605,"Chico")&gt;0,N($E60)&lt;=$B$5),"C ","")&amp;IF(AND(SUMIFS(Compras!$D$6:$D$605,Compras!$B$6:$B$605,$A60,Compras!$C$6:$C$605,"Mediano")&gt;0,N($F60)&lt;=$B$5),"M ","")&amp;IF(AND(SUMIFS(Compras!$D$6:$D$605,Compras!$B$6:$B$605,$A60,Compras!$C$6:$C$605,"Grande")&gt;0,N($G60)&lt;=$B$5),"G","")="","","Reponer "&amp;IF(AND(SUMIFS(Compras!$D$6:$D$605,Compras!$B$6:$B$605,$A60,Compras!$C$6:$C$605,"Chico")&gt;0,N($E60)&lt;=$B$5),"C ","")&amp;IF(AND(SUMIFS(Compras!$D$6:$D$605,Compras!$B$6:$B$605,$A60,Compras!$C$6:$C$605,"Mediano")&gt;0,N($F60)&lt;=$B$5),"M ","")&amp;IF(AND(SUMIFS(Compras!$D$6:$D$605,Compras!$B$6:$B$605,$A60,Compras!$C$6:$C$605,"Grande")&gt;0,N($G60)&lt;=$B$5),"G","")),IF(N($H60)&lt;=$B$5,"REPONER",""))))</f>
        <v/>
      </c>
      <c r="J60" s="69" t="n">
        <f aca="false">IF($A60="","",SUMIFS(Ventas!$D$6:$D$605,Ventas!$B$6:$B$605,$A60))</f>
        <v>1</v>
      </c>
      <c r="K60" s="45" t="n">
        <f aca="false">IF($A60="","",SUMIFS(Ventas!$F$6:$F$605,Ventas!$B$6:$B$605,$A60))</f>
        <v>13000</v>
      </c>
    </row>
    <row r="61" customFormat="false" ht="15.75" hidden="false" customHeight="true" outlineLevel="0" collapsed="false">
      <c r="A61" s="67" t="str">
        <f aca="false">IF(Costos!$A75="","",Costos!$A75)</f>
        <v>Anillo Luna</v>
      </c>
      <c r="B61" s="68" t="str">
        <f aca="false">IF(Costos!$A75="","",Costos!$B75&amp;"")</f>
        <v>Acero inoxidable</v>
      </c>
      <c r="C61" s="68" t="str">
        <f aca="false">IF(Costos!$A75="","",Costos!$C75&amp;"")</f>
        <v>Anillo</v>
      </c>
      <c r="D61" s="69" t="n">
        <f aca="false">IF($A61="","",SUMIFS(Compras!$D$6:$D$605,Compras!$B$6:$B$605,$A61,Compras!$C$6:$C$605,"Único")-SUMIFS(Ventas!$D$6:$D$605,Ventas!$B$6:$B$605,$A61,Ventas!$C$6:$C$605,"Único"))</f>
        <v>2</v>
      </c>
      <c r="E61" s="69" t="n">
        <f aca="false">IF($A61="","",IF(LEFT($C61,6)="Anillo",SUMIFS(Compras!$D$6:$D$605,Compras!$B$6:$B$605,$A61,Compras!$C$6:$C$605,"Chico")-SUMIFS(Ventas!$D$6:$D$605,Ventas!$B$6:$B$605,$A61,Ventas!$C$6:$C$605,"Chico"),""))</f>
        <v>0</v>
      </c>
      <c r="F61" s="69" t="n">
        <f aca="false">IF($A61="","",IF(LEFT($C61,6)="Anillo",SUMIFS(Compras!$D$6:$D$605,Compras!$B$6:$B$605,$A61,Compras!$C$6:$C$605,"Mediano")-SUMIFS(Ventas!$D$6:$D$605,Ventas!$B$6:$B$605,$A61,Ventas!$C$6:$C$605,"Mediano"),""))</f>
        <v>0</v>
      </c>
      <c r="G61" s="69" t="n">
        <f aca="false">IF($A61="","",IF(LEFT($C61,6)="Anillo",SUMIFS(Compras!$D$6:$D$605,Compras!$B$6:$B$605,$A61,Compras!$C$6:$C$605,"Grande")-SUMIFS(Ventas!$D$6:$D$605,Ventas!$B$6:$B$605,$A61,Ventas!$C$6:$C$605,"Grande"),""))</f>
        <v>0</v>
      </c>
      <c r="H61" s="69" t="n">
        <f aca="false">IF($A61="","",N($D61)+N($E61)+N($F61)+N($G61))</f>
        <v>2</v>
      </c>
      <c r="I61" s="70" t="str">
        <f aca="false">IF($A61="","",IF(N($H61)&lt;=0,"SIN STOCK",IF(LEFT($C61,6)="Anillo",IF(IF(AND(SUMIFS(Compras!$D$6:$D$605,Compras!$B$6:$B$605,$A61,Compras!$C$6:$C$605,"Chico")&gt;0,N($E61)&lt;=$B$5),"C ","")&amp;IF(AND(SUMIFS(Compras!$D$6:$D$605,Compras!$B$6:$B$605,$A61,Compras!$C$6:$C$605,"Mediano")&gt;0,N($F61)&lt;=$B$5),"M ","")&amp;IF(AND(SUMIFS(Compras!$D$6:$D$605,Compras!$B$6:$B$605,$A61,Compras!$C$6:$C$605,"Grande")&gt;0,N($G61)&lt;=$B$5),"G","")="","","Reponer "&amp;IF(AND(SUMIFS(Compras!$D$6:$D$605,Compras!$B$6:$B$605,$A61,Compras!$C$6:$C$605,"Chico")&gt;0,N($E61)&lt;=$B$5),"C ","")&amp;IF(AND(SUMIFS(Compras!$D$6:$D$605,Compras!$B$6:$B$605,$A61,Compras!$C$6:$C$605,"Mediano")&gt;0,N($F61)&lt;=$B$5),"M ","")&amp;IF(AND(SUMIFS(Compras!$D$6:$D$605,Compras!$B$6:$B$605,$A61,Compras!$C$6:$C$605,"Grande")&gt;0,N($G61)&lt;=$B$5),"G","")),IF(N($H61)&lt;=$B$5,"REPONER",""))))</f>
        <v/>
      </c>
      <c r="J61" s="69" t="n">
        <f aca="false">IF($A61="","",SUMIFS(Ventas!$D$6:$D$605,Ventas!$B$6:$B$605,$A61))</f>
        <v>0</v>
      </c>
      <c r="K61" s="45" t="n">
        <f aca="false">IF($A61="","",SUMIFS(Ventas!$F$6:$F$605,Ventas!$B$6:$B$605,$A61))</f>
        <v>0</v>
      </c>
    </row>
    <row r="62" customFormat="false" ht="15.75" hidden="false" customHeight="true" outlineLevel="0" collapsed="false">
      <c r="A62" s="67" t="str">
        <f aca="false">IF(Costos!$A76="","",Costos!$A76)</f>
        <v>Collar Girasol</v>
      </c>
      <c r="B62" s="68" t="str">
        <f aca="false">IF(Costos!$A76="","",Costos!$B76&amp;"")</f>
        <v>Acero dorado</v>
      </c>
      <c r="C62" s="68" t="str">
        <f aca="false">IF(Costos!$A76="","",Costos!$C76&amp;"")</f>
        <v>Collar</v>
      </c>
      <c r="D62" s="69" t="n">
        <f aca="false">IF($A62="","",SUMIFS(Compras!$D$6:$D$605,Compras!$B$6:$B$605,$A62,Compras!$C$6:$C$605,"Único")-SUMIFS(Ventas!$D$6:$D$605,Ventas!$B$6:$B$605,$A62,Ventas!$C$6:$C$605,"Único"))</f>
        <v>1</v>
      </c>
      <c r="E62" s="69" t="str">
        <f aca="false">IF($A62="","",IF(LEFT($C62,6)="Anillo",SUMIFS(Compras!$D$6:$D$605,Compras!$B$6:$B$605,$A62,Compras!$C$6:$C$605,"Chico")-SUMIFS(Ventas!$D$6:$D$605,Ventas!$B$6:$B$605,$A62,Ventas!$C$6:$C$605,"Chico"),""))</f>
        <v/>
      </c>
      <c r="F62" s="69" t="str">
        <f aca="false">IF($A62="","",IF(LEFT($C62,6)="Anillo",SUMIFS(Compras!$D$6:$D$605,Compras!$B$6:$B$605,$A62,Compras!$C$6:$C$605,"Mediano")-SUMIFS(Ventas!$D$6:$D$605,Ventas!$B$6:$B$605,$A62,Ventas!$C$6:$C$605,"Mediano"),""))</f>
        <v/>
      </c>
      <c r="G62" s="69" t="str">
        <f aca="false">IF($A62="","",IF(LEFT($C62,6)="Anillo",SUMIFS(Compras!$D$6:$D$605,Compras!$B$6:$B$605,$A62,Compras!$C$6:$C$605,"Grande")-SUMIFS(Ventas!$D$6:$D$605,Ventas!$B$6:$B$605,$A62,Ventas!$C$6:$C$605,"Grande"),""))</f>
        <v/>
      </c>
      <c r="H62" s="69" t="n">
        <f aca="false">IF($A62="","",N($D62)+N($E62)+N($F62)+N($G62))</f>
        <v>1</v>
      </c>
      <c r="I62" s="70" t="str">
        <f aca="false">IF($A62="","",IF(N($H62)&lt;=0,"SIN STOCK",IF(LEFT($C62,6)="Anillo",IF(IF(AND(SUMIFS(Compras!$D$6:$D$605,Compras!$B$6:$B$605,$A62,Compras!$C$6:$C$605,"Chico")&gt;0,N($E62)&lt;=$B$5),"C ","")&amp;IF(AND(SUMIFS(Compras!$D$6:$D$605,Compras!$B$6:$B$605,$A62,Compras!$C$6:$C$605,"Mediano")&gt;0,N($F62)&lt;=$B$5),"M ","")&amp;IF(AND(SUMIFS(Compras!$D$6:$D$605,Compras!$B$6:$B$605,$A62,Compras!$C$6:$C$605,"Grande")&gt;0,N($G62)&lt;=$B$5),"G","")="","","Reponer "&amp;IF(AND(SUMIFS(Compras!$D$6:$D$605,Compras!$B$6:$B$605,$A62,Compras!$C$6:$C$605,"Chico")&gt;0,N($E62)&lt;=$B$5),"C ","")&amp;IF(AND(SUMIFS(Compras!$D$6:$D$605,Compras!$B$6:$B$605,$A62,Compras!$C$6:$C$605,"Mediano")&gt;0,N($F62)&lt;=$B$5),"M ","")&amp;IF(AND(SUMIFS(Compras!$D$6:$D$605,Compras!$B$6:$B$605,$A62,Compras!$C$6:$C$605,"Grande")&gt;0,N($G62)&lt;=$B$5),"G","")),IF(N($H62)&lt;=$B$5,"REPONER",""))))</f>
        <v>REPONER</v>
      </c>
      <c r="J62" s="69" t="n">
        <f aca="false">IF($A62="","",SUMIFS(Ventas!$D$6:$D$605,Ventas!$B$6:$B$605,$A62))</f>
        <v>0</v>
      </c>
      <c r="K62" s="45" t="n">
        <f aca="false">IF($A62="","",SUMIFS(Ventas!$F$6:$F$605,Ventas!$B$6:$B$605,$A62))</f>
        <v>0</v>
      </c>
    </row>
    <row r="63" customFormat="false" ht="15.75" hidden="false" customHeight="true" outlineLevel="0" collapsed="false">
      <c r="A63" s="67" t="str">
        <f aca="false">IF(Costos!$A77="","",Costos!$A77)</f>
        <v>Collar Sardina</v>
      </c>
      <c r="B63" s="68" t="str">
        <f aca="false">IF(Costos!$A77="","",Costos!$B77&amp;"")</f>
        <v>Acero dorado</v>
      </c>
      <c r="C63" s="68" t="str">
        <f aca="false">IF(Costos!$A77="","",Costos!$C77&amp;"")</f>
        <v>Collar</v>
      </c>
      <c r="D63" s="69" t="n">
        <f aca="false">IF($A63="","",SUMIFS(Compras!$D$6:$D$605,Compras!$B$6:$B$605,$A63,Compras!$C$6:$C$605,"Único")-SUMIFS(Ventas!$D$6:$D$605,Ventas!$B$6:$B$605,$A63,Ventas!$C$6:$C$605,"Único"))</f>
        <v>1</v>
      </c>
      <c r="E63" s="69" t="str">
        <f aca="false">IF($A63="","",IF(LEFT($C63,6)="Anillo",SUMIFS(Compras!$D$6:$D$605,Compras!$B$6:$B$605,$A63,Compras!$C$6:$C$605,"Chico")-SUMIFS(Ventas!$D$6:$D$605,Ventas!$B$6:$B$605,$A63,Ventas!$C$6:$C$605,"Chico"),""))</f>
        <v/>
      </c>
      <c r="F63" s="69" t="str">
        <f aca="false">IF($A63="","",IF(LEFT($C63,6)="Anillo",SUMIFS(Compras!$D$6:$D$605,Compras!$B$6:$B$605,$A63,Compras!$C$6:$C$605,"Mediano")-SUMIFS(Ventas!$D$6:$D$605,Ventas!$B$6:$B$605,$A63,Ventas!$C$6:$C$605,"Mediano"),""))</f>
        <v/>
      </c>
      <c r="G63" s="69" t="str">
        <f aca="false">IF($A63="","",IF(LEFT($C63,6)="Anillo",SUMIFS(Compras!$D$6:$D$605,Compras!$B$6:$B$605,$A63,Compras!$C$6:$C$605,"Grande")-SUMIFS(Ventas!$D$6:$D$605,Ventas!$B$6:$B$605,$A63,Ventas!$C$6:$C$605,"Grande"),""))</f>
        <v/>
      </c>
      <c r="H63" s="69" t="n">
        <f aca="false">IF($A63="","",N($D63)+N($E63)+N($F63)+N($G63))</f>
        <v>1</v>
      </c>
      <c r="I63" s="70" t="str">
        <f aca="false">IF($A63="","",IF(N($H63)&lt;=0,"SIN STOCK",IF(LEFT($C63,6)="Anillo",IF(IF(AND(SUMIFS(Compras!$D$6:$D$605,Compras!$B$6:$B$605,$A63,Compras!$C$6:$C$605,"Chico")&gt;0,N($E63)&lt;=$B$5),"C ","")&amp;IF(AND(SUMIFS(Compras!$D$6:$D$605,Compras!$B$6:$B$605,$A63,Compras!$C$6:$C$605,"Mediano")&gt;0,N($F63)&lt;=$B$5),"M ","")&amp;IF(AND(SUMIFS(Compras!$D$6:$D$605,Compras!$B$6:$B$605,$A63,Compras!$C$6:$C$605,"Grande")&gt;0,N($G63)&lt;=$B$5),"G","")="","","Reponer "&amp;IF(AND(SUMIFS(Compras!$D$6:$D$605,Compras!$B$6:$B$605,$A63,Compras!$C$6:$C$605,"Chico")&gt;0,N($E63)&lt;=$B$5),"C ","")&amp;IF(AND(SUMIFS(Compras!$D$6:$D$605,Compras!$B$6:$B$605,$A63,Compras!$C$6:$C$605,"Mediano")&gt;0,N($F63)&lt;=$B$5),"M ","")&amp;IF(AND(SUMIFS(Compras!$D$6:$D$605,Compras!$B$6:$B$605,$A63,Compras!$C$6:$C$605,"Grande")&gt;0,N($G63)&lt;=$B$5),"G","")),IF(N($H63)&lt;=$B$5,"REPONER",""))))</f>
        <v>REPONER</v>
      </c>
      <c r="J63" s="69" t="n">
        <f aca="false">IF($A63="","",SUMIFS(Ventas!$D$6:$D$605,Ventas!$B$6:$B$605,$A63))</f>
        <v>0</v>
      </c>
      <c r="K63" s="45" t="n">
        <f aca="false">IF($A63="","",SUMIFS(Ventas!$F$6:$F$605,Ventas!$B$6:$B$605,$A63))</f>
        <v>0</v>
      </c>
    </row>
    <row r="64" customFormat="false" ht="15.75" hidden="false" customHeight="true" outlineLevel="0" collapsed="false">
      <c r="A64" s="67" t="str">
        <f aca="false">IF(Costos!$A78="","",Costos!$A78)</f>
        <v>Aros Atlas</v>
      </c>
      <c r="B64" s="68" t="str">
        <f aca="false">IF(Costos!$A78="","",Costos!$B78&amp;"")</f>
        <v>Acero dorado</v>
      </c>
      <c r="C64" s="68" t="str">
        <f aca="false">IF(Costos!$A78="","",Costos!$C78&amp;"")</f>
        <v>Aros</v>
      </c>
      <c r="D64" s="69" t="n">
        <f aca="false">IF($A64="","",SUMIFS(Compras!$D$6:$D$605,Compras!$B$6:$B$605,$A64,Compras!$C$6:$C$605,"Único")-SUMIFS(Ventas!$D$6:$D$605,Ventas!$B$6:$B$605,$A64,Ventas!$C$6:$C$605,"Único"))</f>
        <v>2</v>
      </c>
      <c r="E64" s="69" t="str">
        <f aca="false">IF($A64="","",IF(LEFT($C64,6)="Anillo",SUMIFS(Compras!$D$6:$D$605,Compras!$B$6:$B$605,$A64,Compras!$C$6:$C$605,"Chico")-SUMIFS(Ventas!$D$6:$D$605,Ventas!$B$6:$B$605,$A64,Ventas!$C$6:$C$605,"Chico"),""))</f>
        <v/>
      </c>
      <c r="F64" s="69" t="str">
        <f aca="false">IF($A64="","",IF(LEFT($C64,6)="Anillo",SUMIFS(Compras!$D$6:$D$605,Compras!$B$6:$B$605,$A64,Compras!$C$6:$C$605,"Mediano")-SUMIFS(Ventas!$D$6:$D$605,Ventas!$B$6:$B$605,$A64,Ventas!$C$6:$C$605,"Mediano"),""))</f>
        <v/>
      </c>
      <c r="G64" s="69" t="str">
        <f aca="false">IF($A64="","",IF(LEFT($C64,6)="Anillo",SUMIFS(Compras!$D$6:$D$605,Compras!$B$6:$B$605,$A64,Compras!$C$6:$C$605,"Grande")-SUMIFS(Ventas!$D$6:$D$605,Ventas!$B$6:$B$605,$A64,Ventas!$C$6:$C$605,"Grande"),""))</f>
        <v/>
      </c>
      <c r="H64" s="69" t="n">
        <f aca="false">IF($A64="","",N($D64)+N($E64)+N($F64)+N($G64))</f>
        <v>2</v>
      </c>
      <c r="I64" s="70" t="str">
        <f aca="false">IF($A64="","",IF(N($H64)&lt;=0,"SIN STOCK",IF(LEFT($C64,6)="Anillo",IF(IF(AND(SUMIFS(Compras!$D$6:$D$605,Compras!$B$6:$B$605,$A64,Compras!$C$6:$C$605,"Chico")&gt;0,N($E64)&lt;=$B$5),"C ","")&amp;IF(AND(SUMIFS(Compras!$D$6:$D$605,Compras!$B$6:$B$605,$A64,Compras!$C$6:$C$605,"Mediano")&gt;0,N($F64)&lt;=$B$5),"M ","")&amp;IF(AND(SUMIFS(Compras!$D$6:$D$605,Compras!$B$6:$B$605,$A64,Compras!$C$6:$C$605,"Grande")&gt;0,N($G64)&lt;=$B$5),"G","")="","","Reponer "&amp;IF(AND(SUMIFS(Compras!$D$6:$D$605,Compras!$B$6:$B$605,$A64,Compras!$C$6:$C$605,"Chico")&gt;0,N($E64)&lt;=$B$5),"C ","")&amp;IF(AND(SUMIFS(Compras!$D$6:$D$605,Compras!$B$6:$B$605,$A64,Compras!$C$6:$C$605,"Mediano")&gt;0,N($F64)&lt;=$B$5),"M ","")&amp;IF(AND(SUMIFS(Compras!$D$6:$D$605,Compras!$B$6:$B$605,$A64,Compras!$C$6:$C$605,"Grande")&gt;0,N($G64)&lt;=$B$5),"G","")),IF(N($H64)&lt;=$B$5,"REPONER",""))))</f>
        <v/>
      </c>
      <c r="J64" s="69" t="n">
        <f aca="false">IF($A64="","",SUMIFS(Ventas!$D$6:$D$605,Ventas!$B$6:$B$605,$A64))</f>
        <v>1</v>
      </c>
      <c r="K64" s="45" t="n">
        <f aca="false">IF($A64="","",SUMIFS(Ventas!$F$6:$F$605,Ventas!$B$6:$B$605,$A64))</f>
        <v>16500</v>
      </c>
    </row>
    <row r="65" customFormat="false" ht="15.75" hidden="false" customHeight="true" outlineLevel="0" collapsed="false">
      <c r="A65" s="67" t="str">
        <f aca="false">IF(Costos!$A79="","",Costos!$A79)</f>
        <v>Aros Rosella Dorado</v>
      </c>
      <c r="B65" s="68" t="str">
        <f aca="false">IF(Costos!$A79="","",Costos!$B79&amp;"")</f>
        <v>Acero dorado</v>
      </c>
      <c r="C65" s="68" t="str">
        <f aca="false">IF(Costos!$A79="","",Costos!$C79&amp;"")</f>
        <v>Aros</v>
      </c>
      <c r="D65" s="69" t="n">
        <f aca="false">IF($A65="","",SUMIFS(Compras!$D$6:$D$605,Compras!$B$6:$B$605,$A65,Compras!$C$6:$C$605,"Único")-SUMIFS(Ventas!$D$6:$D$605,Ventas!$B$6:$B$605,$A65,Ventas!$C$6:$C$605,"Único"))</f>
        <v>2</v>
      </c>
      <c r="E65" s="69" t="str">
        <f aca="false">IF($A65="","",IF(LEFT($C65,6)="Anillo",SUMIFS(Compras!$D$6:$D$605,Compras!$B$6:$B$605,$A65,Compras!$C$6:$C$605,"Chico")-SUMIFS(Ventas!$D$6:$D$605,Ventas!$B$6:$B$605,$A65,Ventas!$C$6:$C$605,"Chico"),""))</f>
        <v/>
      </c>
      <c r="F65" s="69" t="str">
        <f aca="false">IF($A65="","",IF(LEFT($C65,6)="Anillo",SUMIFS(Compras!$D$6:$D$605,Compras!$B$6:$B$605,$A65,Compras!$C$6:$C$605,"Mediano")-SUMIFS(Ventas!$D$6:$D$605,Ventas!$B$6:$B$605,$A65,Ventas!$C$6:$C$605,"Mediano"),""))</f>
        <v/>
      </c>
      <c r="G65" s="69" t="str">
        <f aca="false">IF($A65="","",IF(LEFT($C65,6)="Anillo",SUMIFS(Compras!$D$6:$D$605,Compras!$B$6:$B$605,$A65,Compras!$C$6:$C$605,"Grande")-SUMIFS(Ventas!$D$6:$D$605,Ventas!$B$6:$B$605,$A65,Ventas!$C$6:$C$605,"Grande"),""))</f>
        <v/>
      </c>
      <c r="H65" s="69" t="n">
        <f aca="false">IF($A65="","",N($D65)+N($E65)+N($F65)+N($G65))</f>
        <v>2</v>
      </c>
      <c r="I65" s="70" t="str">
        <f aca="false">IF($A65="","",IF(N($H65)&lt;=0,"SIN STOCK",IF(LEFT($C65,6)="Anillo",IF(IF(AND(SUMIFS(Compras!$D$6:$D$605,Compras!$B$6:$B$605,$A65,Compras!$C$6:$C$605,"Chico")&gt;0,N($E65)&lt;=$B$5),"C ","")&amp;IF(AND(SUMIFS(Compras!$D$6:$D$605,Compras!$B$6:$B$605,$A65,Compras!$C$6:$C$605,"Mediano")&gt;0,N($F65)&lt;=$B$5),"M ","")&amp;IF(AND(SUMIFS(Compras!$D$6:$D$605,Compras!$B$6:$B$605,$A65,Compras!$C$6:$C$605,"Grande")&gt;0,N($G65)&lt;=$B$5),"G","")="","","Reponer "&amp;IF(AND(SUMIFS(Compras!$D$6:$D$605,Compras!$B$6:$B$605,$A65,Compras!$C$6:$C$605,"Chico")&gt;0,N($E65)&lt;=$B$5),"C ","")&amp;IF(AND(SUMIFS(Compras!$D$6:$D$605,Compras!$B$6:$B$605,$A65,Compras!$C$6:$C$605,"Mediano")&gt;0,N($F65)&lt;=$B$5),"M ","")&amp;IF(AND(SUMIFS(Compras!$D$6:$D$605,Compras!$B$6:$B$605,$A65,Compras!$C$6:$C$605,"Grande")&gt;0,N($G65)&lt;=$B$5),"G","")),IF(N($H65)&lt;=$B$5,"REPONER",""))))</f>
        <v/>
      </c>
      <c r="J65" s="69" t="n">
        <f aca="false">IF($A65="","",SUMIFS(Ventas!$D$6:$D$605,Ventas!$B$6:$B$605,$A65))</f>
        <v>1</v>
      </c>
      <c r="K65" s="45" t="n">
        <f aca="false">IF($A65="","",SUMIFS(Ventas!$F$6:$F$605,Ventas!$B$6:$B$605,$A65))</f>
        <v>15000</v>
      </c>
    </row>
    <row r="66" customFormat="false" ht="15.75" hidden="false" customHeight="true" outlineLevel="0" collapsed="false">
      <c r="A66" s="67" t="str">
        <f aca="false">IF(Costos!$A80="","",Costos!$A80)</f>
        <v>Aros Nara</v>
      </c>
      <c r="B66" s="68" t="str">
        <f aca="false">IF(Costos!$A80="","",Costos!$B80&amp;"")</f>
        <v>Acero dorado</v>
      </c>
      <c r="C66" s="68" t="str">
        <f aca="false">IF(Costos!$A80="","",Costos!$C80&amp;"")</f>
        <v>Aros</v>
      </c>
      <c r="D66" s="69" t="n">
        <f aca="false">IF($A66="","",SUMIFS(Compras!$D$6:$D$605,Compras!$B$6:$B$605,$A66,Compras!$C$6:$C$605,"Único")-SUMIFS(Ventas!$D$6:$D$605,Ventas!$B$6:$B$605,$A66,Ventas!$C$6:$C$605,"Único"))</f>
        <v>0</v>
      </c>
      <c r="E66" s="69" t="str">
        <f aca="false">IF($A66="","",IF(LEFT($C66,6)="Anillo",SUMIFS(Compras!$D$6:$D$605,Compras!$B$6:$B$605,$A66,Compras!$C$6:$C$605,"Chico")-SUMIFS(Ventas!$D$6:$D$605,Ventas!$B$6:$B$605,$A66,Ventas!$C$6:$C$605,"Chico"),""))</f>
        <v/>
      </c>
      <c r="F66" s="69" t="str">
        <f aca="false">IF($A66="","",IF(LEFT($C66,6)="Anillo",SUMIFS(Compras!$D$6:$D$605,Compras!$B$6:$B$605,$A66,Compras!$C$6:$C$605,"Mediano")-SUMIFS(Ventas!$D$6:$D$605,Ventas!$B$6:$B$605,$A66,Ventas!$C$6:$C$605,"Mediano"),""))</f>
        <v/>
      </c>
      <c r="G66" s="69" t="str">
        <f aca="false">IF($A66="","",IF(LEFT($C66,6)="Anillo",SUMIFS(Compras!$D$6:$D$605,Compras!$B$6:$B$605,$A66,Compras!$C$6:$C$605,"Grande")-SUMIFS(Ventas!$D$6:$D$605,Ventas!$B$6:$B$605,$A66,Ventas!$C$6:$C$605,"Grande"),""))</f>
        <v/>
      </c>
      <c r="H66" s="69" t="n">
        <f aca="false">IF($A66="","",N($D66)+N($E66)+N($F66)+N($G66))</f>
        <v>0</v>
      </c>
      <c r="I66" s="70" t="str">
        <f aca="false">IF($A66="","",IF(N($H66)&lt;=0,"SIN STOCK",IF(LEFT($C66,6)="Anillo",IF(IF(AND(SUMIFS(Compras!$D$6:$D$605,Compras!$B$6:$B$605,$A66,Compras!$C$6:$C$605,"Chico")&gt;0,N($E66)&lt;=$B$5),"C ","")&amp;IF(AND(SUMIFS(Compras!$D$6:$D$605,Compras!$B$6:$B$605,$A66,Compras!$C$6:$C$605,"Mediano")&gt;0,N($F66)&lt;=$B$5),"M ","")&amp;IF(AND(SUMIFS(Compras!$D$6:$D$605,Compras!$B$6:$B$605,$A66,Compras!$C$6:$C$605,"Grande")&gt;0,N($G66)&lt;=$B$5),"G","")="","","Reponer "&amp;IF(AND(SUMIFS(Compras!$D$6:$D$605,Compras!$B$6:$B$605,$A66,Compras!$C$6:$C$605,"Chico")&gt;0,N($E66)&lt;=$B$5),"C ","")&amp;IF(AND(SUMIFS(Compras!$D$6:$D$605,Compras!$B$6:$B$605,$A66,Compras!$C$6:$C$605,"Mediano")&gt;0,N($F66)&lt;=$B$5),"M ","")&amp;IF(AND(SUMIFS(Compras!$D$6:$D$605,Compras!$B$6:$B$605,$A66,Compras!$C$6:$C$605,"Grande")&gt;0,N($G66)&lt;=$B$5),"G","")),IF(N($H66)&lt;=$B$5,"REPONER",""))))</f>
        <v>SIN STOCK</v>
      </c>
      <c r="J66" s="69" t="n">
        <f aca="false">IF($A66="","",SUMIFS(Ventas!$D$6:$D$605,Ventas!$B$6:$B$605,$A66))</f>
        <v>1</v>
      </c>
      <c r="K66" s="45" t="n">
        <f aca="false">IF($A66="","",SUMIFS(Ventas!$F$6:$F$605,Ventas!$B$6:$B$605,$A66))</f>
        <v>15000</v>
      </c>
    </row>
    <row r="67" customFormat="false" ht="15.75" hidden="false" customHeight="true" outlineLevel="0" collapsed="false">
      <c r="A67" s="67" t="str">
        <f aca="false">IF(Costos!$A81="","",Costos!$A81)</f>
        <v>Aros Oliva</v>
      </c>
      <c r="B67" s="68" t="str">
        <f aca="false">IF(Costos!$A81="","",Costos!$B81&amp;"")</f>
        <v>Acero dorado</v>
      </c>
      <c r="C67" s="68" t="str">
        <f aca="false">IF(Costos!$A81="","",Costos!$C81&amp;"")</f>
        <v>Aros</v>
      </c>
      <c r="D67" s="69" t="n">
        <f aca="false">IF($A67="","",SUMIFS(Compras!$D$6:$D$605,Compras!$B$6:$B$605,$A67,Compras!$C$6:$C$605,"Único")-SUMIFS(Ventas!$D$6:$D$605,Ventas!$B$6:$B$605,$A67,Ventas!$C$6:$C$605,"Único"))</f>
        <v>1</v>
      </c>
      <c r="E67" s="69" t="str">
        <f aca="false">IF($A67="","",IF(LEFT($C67,6)="Anillo",SUMIFS(Compras!$D$6:$D$605,Compras!$B$6:$B$605,$A67,Compras!$C$6:$C$605,"Chico")-SUMIFS(Ventas!$D$6:$D$605,Ventas!$B$6:$B$605,$A67,Ventas!$C$6:$C$605,"Chico"),""))</f>
        <v/>
      </c>
      <c r="F67" s="69" t="str">
        <f aca="false">IF($A67="","",IF(LEFT($C67,6)="Anillo",SUMIFS(Compras!$D$6:$D$605,Compras!$B$6:$B$605,$A67,Compras!$C$6:$C$605,"Mediano")-SUMIFS(Ventas!$D$6:$D$605,Ventas!$B$6:$B$605,$A67,Ventas!$C$6:$C$605,"Mediano"),""))</f>
        <v/>
      </c>
      <c r="G67" s="69" t="str">
        <f aca="false">IF($A67="","",IF(LEFT($C67,6)="Anillo",SUMIFS(Compras!$D$6:$D$605,Compras!$B$6:$B$605,$A67,Compras!$C$6:$C$605,"Grande")-SUMIFS(Ventas!$D$6:$D$605,Ventas!$B$6:$B$605,$A67,Ventas!$C$6:$C$605,"Grande"),""))</f>
        <v/>
      </c>
      <c r="H67" s="69" t="n">
        <f aca="false">IF($A67="","",N($D67)+N($E67)+N($F67)+N($G67))</f>
        <v>1</v>
      </c>
      <c r="I67" s="70" t="str">
        <f aca="false">IF($A67="","",IF(N($H67)&lt;=0,"SIN STOCK",IF(LEFT($C67,6)="Anillo",IF(IF(AND(SUMIFS(Compras!$D$6:$D$605,Compras!$B$6:$B$605,$A67,Compras!$C$6:$C$605,"Chico")&gt;0,N($E67)&lt;=$B$5),"C ","")&amp;IF(AND(SUMIFS(Compras!$D$6:$D$605,Compras!$B$6:$B$605,$A67,Compras!$C$6:$C$605,"Mediano")&gt;0,N($F67)&lt;=$B$5),"M ","")&amp;IF(AND(SUMIFS(Compras!$D$6:$D$605,Compras!$B$6:$B$605,$A67,Compras!$C$6:$C$605,"Grande")&gt;0,N($G67)&lt;=$B$5),"G","")="","","Reponer "&amp;IF(AND(SUMIFS(Compras!$D$6:$D$605,Compras!$B$6:$B$605,$A67,Compras!$C$6:$C$605,"Chico")&gt;0,N($E67)&lt;=$B$5),"C ","")&amp;IF(AND(SUMIFS(Compras!$D$6:$D$605,Compras!$B$6:$B$605,$A67,Compras!$C$6:$C$605,"Mediano")&gt;0,N($F67)&lt;=$B$5),"M ","")&amp;IF(AND(SUMIFS(Compras!$D$6:$D$605,Compras!$B$6:$B$605,$A67,Compras!$C$6:$C$605,"Grande")&gt;0,N($G67)&lt;=$B$5),"G","")),IF(N($H67)&lt;=$B$5,"REPONER",""))))</f>
        <v>REPONER</v>
      </c>
      <c r="J67" s="69" t="n">
        <f aca="false">IF($A67="","",SUMIFS(Ventas!$D$6:$D$605,Ventas!$B$6:$B$605,$A67))</f>
        <v>0</v>
      </c>
      <c r="K67" s="45" t="n">
        <f aca="false">IF($A67="","",SUMIFS(Ventas!$F$6:$F$605,Ventas!$B$6:$B$605,$A67))</f>
        <v>0</v>
      </c>
    </row>
    <row r="68" customFormat="false" ht="15.75" hidden="false" customHeight="true" outlineLevel="0" collapsed="false">
      <c r="A68" s="67" t="str">
        <f aca="false">IF(Costos!$A82="","",Costos!$A82)</f>
        <v>Collar Amour</v>
      </c>
      <c r="B68" s="68" t="str">
        <f aca="false">IF(Costos!$A82="","",Costos!$B82&amp;"")</f>
        <v>Acero inoxidable</v>
      </c>
      <c r="C68" s="68" t="str">
        <f aca="false">IF(Costos!$A82="","",Costos!$C82&amp;"")</f>
        <v>Collar</v>
      </c>
      <c r="D68" s="69" t="n">
        <f aca="false">IF($A68="","",SUMIFS(Compras!$D$6:$D$605,Compras!$B$6:$B$605,$A68,Compras!$C$6:$C$605,"Único")-SUMIFS(Ventas!$D$6:$D$605,Ventas!$B$6:$B$605,$A68,Ventas!$C$6:$C$605,"Único"))</f>
        <v>0</v>
      </c>
      <c r="E68" s="69" t="str">
        <f aca="false">IF($A68="","",IF(LEFT($C68,6)="Anillo",SUMIFS(Compras!$D$6:$D$605,Compras!$B$6:$B$605,$A68,Compras!$C$6:$C$605,"Chico")-SUMIFS(Ventas!$D$6:$D$605,Ventas!$B$6:$B$605,$A68,Ventas!$C$6:$C$605,"Chico"),""))</f>
        <v/>
      </c>
      <c r="F68" s="69" t="str">
        <f aca="false">IF($A68="","",IF(LEFT($C68,6)="Anillo",SUMIFS(Compras!$D$6:$D$605,Compras!$B$6:$B$605,$A68,Compras!$C$6:$C$605,"Mediano")-SUMIFS(Ventas!$D$6:$D$605,Ventas!$B$6:$B$605,$A68,Ventas!$C$6:$C$605,"Mediano"),""))</f>
        <v/>
      </c>
      <c r="G68" s="69" t="str">
        <f aca="false">IF($A68="","",IF(LEFT($C68,6)="Anillo",SUMIFS(Compras!$D$6:$D$605,Compras!$B$6:$B$605,$A68,Compras!$C$6:$C$605,"Grande")-SUMIFS(Ventas!$D$6:$D$605,Ventas!$B$6:$B$605,$A68,Ventas!$C$6:$C$605,"Grande"),""))</f>
        <v/>
      </c>
      <c r="H68" s="69" t="n">
        <f aca="false">IF($A68="","",N($D68)+N($E68)+N($F68)+N($G68))</f>
        <v>0</v>
      </c>
      <c r="I68" s="70" t="str">
        <f aca="false">IF($A68="","",IF(N($H68)&lt;=0,"SIN STOCK",IF(LEFT($C68,6)="Anillo",IF(IF(AND(SUMIFS(Compras!$D$6:$D$605,Compras!$B$6:$B$605,$A68,Compras!$C$6:$C$605,"Chico")&gt;0,N($E68)&lt;=$B$5),"C ","")&amp;IF(AND(SUMIFS(Compras!$D$6:$D$605,Compras!$B$6:$B$605,$A68,Compras!$C$6:$C$605,"Mediano")&gt;0,N($F68)&lt;=$B$5),"M ","")&amp;IF(AND(SUMIFS(Compras!$D$6:$D$605,Compras!$B$6:$B$605,$A68,Compras!$C$6:$C$605,"Grande")&gt;0,N($G68)&lt;=$B$5),"G","")="","","Reponer "&amp;IF(AND(SUMIFS(Compras!$D$6:$D$605,Compras!$B$6:$B$605,$A68,Compras!$C$6:$C$605,"Chico")&gt;0,N($E68)&lt;=$B$5),"C ","")&amp;IF(AND(SUMIFS(Compras!$D$6:$D$605,Compras!$B$6:$B$605,$A68,Compras!$C$6:$C$605,"Mediano")&gt;0,N($F68)&lt;=$B$5),"M ","")&amp;IF(AND(SUMIFS(Compras!$D$6:$D$605,Compras!$B$6:$B$605,$A68,Compras!$C$6:$C$605,"Grande")&gt;0,N($G68)&lt;=$B$5),"G","")),IF(N($H68)&lt;=$B$5,"REPONER",""))))</f>
        <v>SIN STOCK</v>
      </c>
      <c r="J68" s="69" t="n">
        <f aca="false">IF($A68="","",SUMIFS(Ventas!$D$6:$D$605,Ventas!$B$6:$B$605,$A68))</f>
        <v>2</v>
      </c>
      <c r="K68" s="45" t="n">
        <f aca="false">IF($A68="","",SUMIFS(Ventas!$F$6:$F$605,Ventas!$B$6:$B$605,$A68))</f>
        <v>30000</v>
      </c>
    </row>
    <row r="69" customFormat="false" ht="15.75" hidden="false" customHeight="true" outlineLevel="0" collapsed="false">
      <c r="A69" s="67" t="str">
        <f aca="false">IF(Costos!$A83="","",Costos!$A83)</f>
        <v>Argollitas Classic N°1 D</v>
      </c>
      <c r="B69" s="68" t="str">
        <f aca="false">IF(Costos!$A83="","",Costos!$B83&amp;"")</f>
        <v>Acero dorado</v>
      </c>
      <c r="C69" s="68" t="str">
        <f aca="false">IF(Costos!$A83="","",Costos!$C83&amp;"")</f>
        <v>Aros</v>
      </c>
      <c r="D69" s="69" t="n">
        <f aca="false">IF($A69="","",SUMIFS(Compras!$D$6:$D$605,Compras!$B$6:$B$605,$A69,Compras!$C$6:$C$605,"Único")-SUMIFS(Ventas!$D$6:$D$605,Ventas!$B$6:$B$605,$A69,Ventas!$C$6:$C$605,"Único"))</f>
        <v>1</v>
      </c>
      <c r="E69" s="69" t="str">
        <f aca="false">IF($A69="","",IF(LEFT($C69,6)="Anillo",SUMIFS(Compras!$D$6:$D$605,Compras!$B$6:$B$605,$A69,Compras!$C$6:$C$605,"Chico")-SUMIFS(Ventas!$D$6:$D$605,Ventas!$B$6:$B$605,$A69,Ventas!$C$6:$C$605,"Chico"),""))</f>
        <v/>
      </c>
      <c r="F69" s="69" t="str">
        <f aca="false">IF($A69="","",IF(LEFT($C69,6)="Anillo",SUMIFS(Compras!$D$6:$D$605,Compras!$B$6:$B$605,$A69,Compras!$C$6:$C$605,"Mediano")-SUMIFS(Ventas!$D$6:$D$605,Ventas!$B$6:$B$605,$A69,Ventas!$C$6:$C$605,"Mediano"),""))</f>
        <v/>
      </c>
      <c r="G69" s="69" t="str">
        <f aca="false">IF($A69="","",IF(LEFT($C69,6)="Anillo",SUMIFS(Compras!$D$6:$D$605,Compras!$B$6:$B$605,$A69,Compras!$C$6:$C$605,"Grande")-SUMIFS(Ventas!$D$6:$D$605,Ventas!$B$6:$B$605,$A69,Ventas!$C$6:$C$605,"Grande"),""))</f>
        <v/>
      </c>
      <c r="H69" s="69" t="n">
        <f aca="false">IF($A69="","",N($D69)+N($E69)+N($F69)+N($G69))</f>
        <v>1</v>
      </c>
      <c r="I69" s="70" t="str">
        <f aca="false">IF($A69="","",IF(N($H69)&lt;=0,"SIN STOCK",IF(LEFT($C69,6)="Anillo",IF(IF(AND(SUMIFS(Compras!$D$6:$D$605,Compras!$B$6:$B$605,$A69,Compras!$C$6:$C$605,"Chico")&gt;0,N($E69)&lt;=$B$5),"C ","")&amp;IF(AND(SUMIFS(Compras!$D$6:$D$605,Compras!$B$6:$B$605,$A69,Compras!$C$6:$C$605,"Mediano")&gt;0,N($F69)&lt;=$B$5),"M ","")&amp;IF(AND(SUMIFS(Compras!$D$6:$D$605,Compras!$B$6:$B$605,$A69,Compras!$C$6:$C$605,"Grande")&gt;0,N($G69)&lt;=$B$5),"G","")="","","Reponer "&amp;IF(AND(SUMIFS(Compras!$D$6:$D$605,Compras!$B$6:$B$605,$A69,Compras!$C$6:$C$605,"Chico")&gt;0,N($E69)&lt;=$B$5),"C ","")&amp;IF(AND(SUMIFS(Compras!$D$6:$D$605,Compras!$B$6:$B$605,$A69,Compras!$C$6:$C$605,"Mediano")&gt;0,N($F69)&lt;=$B$5),"M ","")&amp;IF(AND(SUMIFS(Compras!$D$6:$D$605,Compras!$B$6:$B$605,$A69,Compras!$C$6:$C$605,"Grande")&gt;0,N($G69)&lt;=$B$5),"G","")),IF(N($H69)&lt;=$B$5,"REPONER",""))))</f>
        <v>REPONER</v>
      </c>
      <c r="J69" s="69" t="n">
        <f aca="false">IF($A69="","",SUMIFS(Ventas!$D$6:$D$605,Ventas!$B$6:$B$605,$A69))</f>
        <v>1</v>
      </c>
      <c r="K69" s="45" t="n">
        <f aca="false">IF($A69="","",SUMIFS(Ventas!$F$6:$F$605,Ventas!$B$6:$B$605,$A69))</f>
        <v>9000</v>
      </c>
    </row>
    <row r="70" customFormat="false" ht="15.75" hidden="false" customHeight="true" outlineLevel="0" collapsed="false">
      <c r="A70" s="67" t="str">
        <f aca="false">IF(Costos!$A84="","",Costos!$A84)</f>
        <v>Argollitas Classic N°2 D</v>
      </c>
      <c r="B70" s="68" t="str">
        <f aca="false">IF(Costos!$A84="","",Costos!$B84&amp;"")</f>
        <v>Acero dorado</v>
      </c>
      <c r="C70" s="68" t="str">
        <f aca="false">IF(Costos!$A84="","",Costos!$C84&amp;"")</f>
        <v>Aros</v>
      </c>
      <c r="D70" s="69" t="n">
        <f aca="false">IF($A70="","",SUMIFS(Compras!$D$6:$D$605,Compras!$B$6:$B$605,$A70,Compras!$C$6:$C$605,"Único")-SUMIFS(Ventas!$D$6:$D$605,Ventas!$B$6:$B$605,$A70,Ventas!$C$6:$C$605,"Único"))</f>
        <v>2</v>
      </c>
      <c r="E70" s="69" t="str">
        <f aca="false">IF($A70="","",IF(LEFT($C70,6)="Anillo",SUMIFS(Compras!$D$6:$D$605,Compras!$B$6:$B$605,$A70,Compras!$C$6:$C$605,"Chico")-SUMIFS(Ventas!$D$6:$D$605,Ventas!$B$6:$B$605,$A70,Ventas!$C$6:$C$605,"Chico"),""))</f>
        <v/>
      </c>
      <c r="F70" s="69" t="str">
        <f aca="false">IF($A70="","",IF(LEFT($C70,6)="Anillo",SUMIFS(Compras!$D$6:$D$605,Compras!$B$6:$B$605,$A70,Compras!$C$6:$C$605,"Mediano")-SUMIFS(Ventas!$D$6:$D$605,Ventas!$B$6:$B$605,$A70,Ventas!$C$6:$C$605,"Mediano"),""))</f>
        <v/>
      </c>
      <c r="G70" s="69" t="str">
        <f aca="false">IF($A70="","",IF(LEFT($C70,6)="Anillo",SUMIFS(Compras!$D$6:$D$605,Compras!$B$6:$B$605,$A70,Compras!$C$6:$C$605,"Grande")-SUMIFS(Ventas!$D$6:$D$605,Ventas!$B$6:$B$605,$A70,Ventas!$C$6:$C$605,"Grande"),""))</f>
        <v/>
      </c>
      <c r="H70" s="69" t="n">
        <f aca="false">IF($A70="","",N($D70)+N($E70)+N($F70)+N($G70))</f>
        <v>2</v>
      </c>
      <c r="I70" s="70" t="str">
        <f aca="false">IF($A70="","",IF(N($H70)&lt;=0,"SIN STOCK",IF(LEFT($C70,6)="Anillo",IF(IF(AND(SUMIFS(Compras!$D$6:$D$605,Compras!$B$6:$B$605,$A70,Compras!$C$6:$C$605,"Chico")&gt;0,N($E70)&lt;=$B$5),"C ","")&amp;IF(AND(SUMIFS(Compras!$D$6:$D$605,Compras!$B$6:$B$605,$A70,Compras!$C$6:$C$605,"Mediano")&gt;0,N($F70)&lt;=$B$5),"M ","")&amp;IF(AND(SUMIFS(Compras!$D$6:$D$605,Compras!$B$6:$B$605,$A70,Compras!$C$6:$C$605,"Grande")&gt;0,N($G70)&lt;=$B$5),"G","")="","","Reponer "&amp;IF(AND(SUMIFS(Compras!$D$6:$D$605,Compras!$B$6:$B$605,$A70,Compras!$C$6:$C$605,"Chico")&gt;0,N($E70)&lt;=$B$5),"C ","")&amp;IF(AND(SUMIFS(Compras!$D$6:$D$605,Compras!$B$6:$B$605,$A70,Compras!$C$6:$C$605,"Mediano")&gt;0,N($F70)&lt;=$B$5),"M ","")&amp;IF(AND(SUMIFS(Compras!$D$6:$D$605,Compras!$B$6:$B$605,$A70,Compras!$C$6:$C$605,"Grande")&gt;0,N($G70)&lt;=$B$5),"G","")),IF(N($H70)&lt;=$B$5,"REPONER",""))))</f>
        <v/>
      </c>
      <c r="J70" s="69" t="n">
        <f aca="false">IF($A70="","",SUMIFS(Ventas!$D$6:$D$605,Ventas!$B$6:$B$605,$A70))</f>
        <v>0</v>
      </c>
      <c r="K70" s="45" t="n">
        <f aca="false">IF($A70="","",SUMIFS(Ventas!$F$6:$F$605,Ventas!$B$6:$B$605,$A70))</f>
        <v>0</v>
      </c>
    </row>
    <row r="71" customFormat="false" ht="15.75" hidden="false" customHeight="true" outlineLevel="0" collapsed="false">
      <c r="A71" s="67" t="str">
        <f aca="false">IF(Costos!$A85="","",Costos!$A85)</f>
        <v/>
      </c>
      <c r="B71" s="68" t="str">
        <f aca="false">IF(Costos!$A85="","",Costos!$B85&amp;"")</f>
        <v/>
      </c>
      <c r="C71" s="68" t="str">
        <f aca="false">IF(Costos!$A85="","",Costos!$C85&amp;"")</f>
        <v/>
      </c>
      <c r="D71" s="69" t="str">
        <f aca="false">IF($A71="","",SUMIFS(Compras!$D$6:$D$605,Compras!$B$6:$B$605,$A71,Compras!$C$6:$C$605,"Único")-SUMIFS(Ventas!$D$6:$D$605,Ventas!$B$6:$B$605,$A71,Ventas!$C$6:$C$605,"Único"))</f>
        <v/>
      </c>
      <c r="E71" s="69" t="str">
        <f aca="false">IF($A71="","",IF(LEFT($C71,6)="Anillo",SUMIFS(Compras!$D$6:$D$605,Compras!$B$6:$B$605,$A71,Compras!$C$6:$C$605,"Chico")-SUMIFS(Ventas!$D$6:$D$605,Ventas!$B$6:$B$605,$A71,Ventas!$C$6:$C$605,"Chico"),""))</f>
        <v/>
      </c>
      <c r="F71" s="69" t="str">
        <f aca="false">IF($A71="","",IF(LEFT($C71,6)="Anillo",SUMIFS(Compras!$D$6:$D$605,Compras!$B$6:$B$605,$A71,Compras!$C$6:$C$605,"Mediano")-SUMIFS(Ventas!$D$6:$D$605,Ventas!$B$6:$B$605,$A71,Ventas!$C$6:$C$605,"Mediano"),""))</f>
        <v/>
      </c>
      <c r="G71" s="69" t="str">
        <f aca="false">IF($A71="","",IF(LEFT($C71,6)="Anillo",SUMIFS(Compras!$D$6:$D$605,Compras!$B$6:$B$605,$A71,Compras!$C$6:$C$605,"Grande")-SUMIFS(Ventas!$D$6:$D$605,Ventas!$B$6:$B$605,$A71,Ventas!$C$6:$C$605,"Grande"),""))</f>
        <v/>
      </c>
      <c r="H71" s="69" t="str">
        <f aca="false">IF($A71="","",N($D71)+N($E71)+N($F71)+N($G71))</f>
        <v/>
      </c>
      <c r="I71" s="70" t="str">
        <f aca="false">IF($A71="","",IF(N($H71)&lt;=0,"SIN STOCK",IF(LEFT($C71,6)="Anillo",IF(IF(AND(SUMIFS(Compras!$D$6:$D$605,Compras!$B$6:$B$605,$A71,Compras!$C$6:$C$605,"Chico")&gt;0,N($E71)&lt;=$B$5),"C ","")&amp;IF(AND(SUMIFS(Compras!$D$6:$D$605,Compras!$B$6:$B$605,$A71,Compras!$C$6:$C$605,"Mediano")&gt;0,N($F71)&lt;=$B$5),"M ","")&amp;IF(AND(SUMIFS(Compras!$D$6:$D$605,Compras!$B$6:$B$605,$A71,Compras!$C$6:$C$605,"Grande")&gt;0,N($G71)&lt;=$B$5),"G","")="","","Reponer "&amp;IF(AND(SUMIFS(Compras!$D$6:$D$605,Compras!$B$6:$B$605,$A71,Compras!$C$6:$C$605,"Chico")&gt;0,N($E71)&lt;=$B$5),"C ","")&amp;IF(AND(SUMIFS(Compras!$D$6:$D$605,Compras!$B$6:$B$605,$A71,Compras!$C$6:$C$605,"Mediano")&gt;0,N($F71)&lt;=$B$5),"M ","")&amp;IF(AND(SUMIFS(Compras!$D$6:$D$605,Compras!$B$6:$B$605,$A71,Compras!$C$6:$C$605,"Grande")&gt;0,N($G71)&lt;=$B$5),"G","")),IF(N($H71)&lt;=$B$5,"REPONER",""))))</f>
        <v/>
      </c>
      <c r="J71" s="69" t="str">
        <f aca="false">IF($A71="","",SUMIFS(Ventas!$D$6:$D$605,Ventas!$B$6:$B$605,$A71))</f>
        <v/>
      </c>
      <c r="K71" s="45" t="str">
        <f aca="false">IF($A71="","",SUMIFS(Ventas!$F$6:$F$605,Ventas!$B$6:$B$605,$A71))</f>
        <v/>
      </c>
    </row>
    <row r="72" customFormat="false" ht="15.75" hidden="false" customHeight="true" outlineLevel="0" collapsed="false">
      <c r="A72" s="67" t="str">
        <f aca="false">IF(Costos!$A86="","",Costos!$A86)</f>
        <v/>
      </c>
      <c r="B72" s="68" t="str">
        <f aca="false">IF(Costos!$A86="","",Costos!$B86&amp;"")</f>
        <v/>
      </c>
      <c r="C72" s="68" t="str">
        <f aca="false">IF(Costos!$A86="","",Costos!$C86&amp;"")</f>
        <v/>
      </c>
      <c r="D72" s="69" t="str">
        <f aca="false">IF($A72="","",SUMIFS(Compras!$D$6:$D$605,Compras!$B$6:$B$605,$A72,Compras!$C$6:$C$605,"Único")-SUMIFS(Ventas!$D$6:$D$605,Ventas!$B$6:$B$605,$A72,Ventas!$C$6:$C$605,"Único"))</f>
        <v/>
      </c>
      <c r="E72" s="69" t="str">
        <f aca="false">IF($A72="","",IF(LEFT($C72,6)="Anillo",SUMIFS(Compras!$D$6:$D$605,Compras!$B$6:$B$605,$A72,Compras!$C$6:$C$605,"Chico")-SUMIFS(Ventas!$D$6:$D$605,Ventas!$B$6:$B$605,$A72,Ventas!$C$6:$C$605,"Chico"),""))</f>
        <v/>
      </c>
      <c r="F72" s="69" t="str">
        <f aca="false">IF($A72="","",IF(LEFT($C72,6)="Anillo",SUMIFS(Compras!$D$6:$D$605,Compras!$B$6:$B$605,$A72,Compras!$C$6:$C$605,"Mediano")-SUMIFS(Ventas!$D$6:$D$605,Ventas!$B$6:$B$605,$A72,Ventas!$C$6:$C$605,"Mediano"),""))</f>
        <v/>
      </c>
      <c r="G72" s="69" t="str">
        <f aca="false">IF($A72="","",IF(LEFT($C72,6)="Anillo",SUMIFS(Compras!$D$6:$D$605,Compras!$B$6:$B$605,$A72,Compras!$C$6:$C$605,"Grande")-SUMIFS(Ventas!$D$6:$D$605,Ventas!$B$6:$B$605,$A72,Ventas!$C$6:$C$605,"Grande"),""))</f>
        <v/>
      </c>
      <c r="H72" s="69" t="str">
        <f aca="false">IF($A72="","",N($D72)+N($E72)+N($F72)+N($G72))</f>
        <v/>
      </c>
      <c r="I72" s="70" t="str">
        <f aca="false">IF($A72="","",IF(N($H72)&lt;=0,"SIN STOCK",IF(LEFT($C72,6)="Anillo",IF(IF(AND(SUMIFS(Compras!$D$6:$D$605,Compras!$B$6:$B$605,$A72,Compras!$C$6:$C$605,"Chico")&gt;0,N($E72)&lt;=$B$5),"C ","")&amp;IF(AND(SUMIFS(Compras!$D$6:$D$605,Compras!$B$6:$B$605,$A72,Compras!$C$6:$C$605,"Mediano")&gt;0,N($F72)&lt;=$B$5),"M ","")&amp;IF(AND(SUMIFS(Compras!$D$6:$D$605,Compras!$B$6:$B$605,$A72,Compras!$C$6:$C$605,"Grande")&gt;0,N($G72)&lt;=$B$5),"G","")="","","Reponer "&amp;IF(AND(SUMIFS(Compras!$D$6:$D$605,Compras!$B$6:$B$605,$A72,Compras!$C$6:$C$605,"Chico")&gt;0,N($E72)&lt;=$B$5),"C ","")&amp;IF(AND(SUMIFS(Compras!$D$6:$D$605,Compras!$B$6:$B$605,$A72,Compras!$C$6:$C$605,"Mediano")&gt;0,N($F72)&lt;=$B$5),"M ","")&amp;IF(AND(SUMIFS(Compras!$D$6:$D$605,Compras!$B$6:$B$605,$A72,Compras!$C$6:$C$605,"Grande")&gt;0,N($G72)&lt;=$B$5),"G","")),IF(N($H72)&lt;=$B$5,"REPONER",""))))</f>
        <v/>
      </c>
      <c r="J72" s="69" t="str">
        <f aca="false">IF($A72="","",SUMIFS(Ventas!$D$6:$D$605,Ventas!$B$6:$B$605,$A72))</f>
        <v/>
      </c>
      <c r="K72" s="45" t="str">
        <f aca="false">IF($A72="","",SUMIFS(Ventas!$F$6:$F$605,Ventas!$B$6:$B$605,$A72))</f>
        <v/>
      </c>
    </row>
    <row r="73" customFormat="false" ht="15.75" hidden="false" customHeight="true" outlineLevel="0" collapsed="false">
      <c r="A73" s="67" t="str">
        <f aca="false">IF(Costos!$A87="","",Costos!$A87)</f>
        <v/>
      </c>
      <c r="B73" s="68" t="str">
        <f aca="false">IF(Costos!$A87="","",Costos!$B87&amp;"")</f>
        <v/>
      </c>
      <c r="C73" s="68" t="str">
        <f aca="false">IF(Costos!$A87="","",Costos!$C87&amp;"")</f>
        <v/>
      </c>
      <c r="D73" s="69" t="str">
        <f aca="false">IF($A73="","",SUMIFS(Compras!$D$6:$D$605,Compras!$B$6:$B$605,$A73,Compras!$C$6:$C$605,"Único")-SUMIFS(Ventas!$D$6:$D$605,Ventas!$B$6:$B$605,$A73,Ventas!$C$6:$C$605,"Único"))</f>
        <v/>
      </c>
      <c r="E73" s="69" t="str">
        <f aca="false">IF($A73="","",IF(LEFT($C73,6)="Anillo",SUMIFS(Compras!$D$6:$D$605,Compras!$B$6:$B$605,$A73,Compras!$C$6:$C$605,"Chico")-SUMIFS(Ventas!$D$6:$D$605,Ventas!$B$6:$B$605,$A73,Ventas!$C$6:$C$605,"Chico"),""))</f>
        <v/>
      </c>
      <c r="F73" s="69" t="str">
        <f aca="false">IF($A73="","",IF(LEFT($C73,6)="Anillo",SUMIFS(Compras!$D$6:$D$605,Compras!$B$6:$B$605,$A73,Compras!$C$6:$C$605,"Mediano")-SUMIFS(Ventas!$D$6:$D$605,Ventas!$B$6:$B$605,$A73,Ventas!$C$6:$C$605,"Mediano"),""))</f>
        <v/>
      </c>
      <c r="G73" s="69" t="str">
        <f aca="false">IF($A73="","",IF(LEFT($C73,6)="Anillo",SUMIFS(Compras!$D$6:$D$605,Compras!$B$6:$B$605,$A73,Compras!$C$6:$C$605,"Grande")-SUMIFS(Ventas!$D$6:$D$605,Ventas!$B$6:$B$605,$A73,Ventas!$C$6:$C$605,"Grande"),""))</f>
        <v/>
      </c>
      <c r="H73" s="69" t="str">
        <f aca="false">IF($A73="","",N($D73)+N($E73)+N($F73)+N($G73))</f>
        <v/>
      </c>
      <c r="I73" s="70" t="str">
        <f aca="false">IF($A73="","",IF(N($H73)&lt;=0,"SIN STOCK",IF(LEFT($C73,6)="Anillo",IF(IF(AND(SUMIFS(Compras!$D$6:$D$605,Compras!$B$6:$B$605,$A73,Compras!$C$6:$C$605,"Chico")&gt;0,N($E73)&lt;=$B$5),"C ","")&amp;IF(AND(SUMIFS(Compras!$D$6:$D$605,Compras!$B$6:$B$605,$A73,Compras!$C$6:$C$605,"Mediano")&gt;0,N($F73)&lt;=$B$5),"M ","")&amp;IF(AND(SUMIFS(Compras!$D$6:$D$605,Compras!$B$6:$B$605,$A73,Compras!$C$6:$C$605,"Grande")&gt;0,N($G73)&lt;=$B$5),"G","")="","","Reponer "&amp;IF(AND(SUMIFS(Compras!$D$6:$D$605,Compras!$B$6:$B$605,$A73,Compras!$C$6:$C$605,"Chico")&gt;0,N($E73)&lt;=$B$5),"C ","")&amp;IF(AND(SUMIFS(Compras!$D$6:$D$605,Compras!$B$6:$B$605,$A73,Compras!$C$6:$C$605,"Mediano")&gt;0,N($F73)&lt;=$B$5),"M ","")&amp;IF(AND(SUMIFS(Compras!$D$6:$D$605,Compras!$B$6:$B$605,$A73,Compras!$C$6:$C$605,"Grande")&gt;0,N($G73)&lt;=$B$5),"G","")),IF(N($H73)&lt;=$B$5,"REPONER",""))))</f>
        <v/>
      </c>
      <c r="J73" s="69" t="str">
        <f aca="false">IF($A73="","",SUMIFS(Ventas!$D$6:$D$605,Ventas!$B$6:$B$605,$A73))</f>
        <v/>
      </c>
      <c r="K73" s="45" t="str">
        <f aca="false">IF($A73="","",SUMIFS(Ventas!$F$6:$F$605,Ventas!$B$6:$B$605,$A73))</f>
        <v/>
      </c>
    </row>
    <row r="74" customFormat="false" ht="15.75" hidden="false" customHeight="true" outlineLevel="0" collapsed="false">
      <c r="A74" s="67" t="str">
        <f aca="false">IF(Costos!$A88="","",Costos!$A88)</f>
        <v>Argollitas Halo N°1 (12 mm)</v>
      </c>
      <c r="B74" s="68" t="str">
        <f aca="false">IF(Costos!$A88="","",Costos!$B88&amp;"")</f>
        <v>Plata 925</v>
      </c>
      <c r="C74" s="68" t="str">
        <f aca="false">IF(Costos!$A88="","",Costos!$C88&amp;"")</f>
        <v>Aros</v>
      </c>
      <c r="D74" s="69" t="n">
        <f aca="false">IF($A74="","",SUMIFS(Compras!$D$6:$D$605,Compras!$B$6:$B$605,$A74,Compras!$C$6:$C$605,"Único")-SUMIFS(Ventas!$D$6:$D$605,Ventas!$B$6:$B$605,$A74,Ventas!$C$6:$C$605,"Único"))</f>
        <v>2</v>
      </c>
      <c r="E74" s="69" t="str">
        <f aca="false">IF($A74="","",IF(LEFT($C74,6)="Anillo",SUMIFS(Compras!$D$6:$D$605,Compras!$B$6:$B$605,$A74,Compras!$C$6:$C$605,"Chico")-SUMIFS(Ventas!$D$6:$D$605,Ventas!$B$6:$B$605,$A74,Ventas!$C$6:$C$605,"Chico"),""))</f>
        <v/>
      </c>
      <c r="F74" s="69" t="str">
        <f aca="false">IF($A74="","",IF(LEFT($C74,6)="Anillo",SUMIFS(Compras!$D$6:$D$605,Compras!$B$6:$B$605,$A74,Compras!$C$6:$C$605,"Mediano")-SUMIFS(Ventas!$D$6:$D$605,Ventas!$B$6:$B$605,$A74,Ventas!$C$6:$C$605,"Mediano"),""))</f>
        <v/>
      </c>
      <c r="G74" s="69" t="str">
        <f aca="false">IF($A74="","",IF(LEFT($C74,6)="Anillo",SUMIFS(Compras!$D$6:$D$605,Compras!$B$6:$B$605,$A74,Compras!$C$6:$C$605,"Grande")-SUMIFS(Ventas!$D$6:$D$605,Ventas!$B$6:$B$605,$A74,Ventas!$C$6:$C$605,"Grande"),""))</f>
        <v/>
      </c>
      <c r="H74" s="69" t="n">
        <f aca="false">IF($A74="","",N($D74)+N($E74)+N($F74)+N($G74))</f>
        <v>2</v>
      </c>
      <c r="I74" s="70" t="str">
        <f aca="false">IF($A74="","",IF(N($H74)&lt;=0,"SIN STOCK",IF(LEFT($C74,6)="Anillo",IF(IF(AND(SUMIFS(Compras!$D$6:$D$605,Compras!$B$6:$B$605,$A74,Compras!$C$6:$C$605,"Chico")&gt;0,N($E74)&lt;=$B$5),"C ","")&amp;IF(AND(SUMIFS(Compras!$D$6:$D$605,Compras!$B$6:$B$605,$A74,Compras!$C$6:$C$605,"Mediano")&gt;0,N($F74)&lt;=$B$5),"M ","")&amp;IF(AND(SUMIFS(Compras!$D$6:$D$605,Compras!$B$6:$B$605,$A74,Compras!$C$6:$C$605,"Grande")&gt;0,N($G74)&lt;=$B$5),"G","")="","","Reponer "&amp;IF(AND(SUMIFS(Compras!$D$6:$D$605,Compras!$B$6:$B$605,$A74,Compras!$C$6:$C$605,"Chico")&gt;0,N($E74)&lt;=$B$5),"C ","")&amp;IF(AND(SUMIFS(Compras!$D$6:$D$605,Compras!$B$6:$B$605,$A74,Compras!$C$6:$C$605,"Mediano")&gt;0,N($F74)&lt;=$B$5),"M ","")&amp;IF(AND(SUMIFS(Compras!$D$6:$D$605,Compras!$B$6:$B$605,$A74,Compras!$C$6:$C$605,"Grande")&gt;0,N($G74)&lt;=$B$5),"G","")),IF(N($H74)&lt;=$B$5,"REPONER",""))))</f>
        <v/>
      </c>
      <c r="J74" s="69" t="n">
        <f aca="false">IF($A74="","",SUMIFS(Ventas!$D$6:$D$605,Ventas!$B$6:$B$605,$A74))</f>
        <v>0</v>
      </c>
      <c r="K74" s="45" t="n">
        <f aca="false">IF($A74="","",SUMIFS(Ventas!$F$6:$F$605,Ventas!$B$6:$B$605,$A74))</f>
        <v>0</v>
      </c>
    </row>
    <row r="75" customFormat="false" ht="15.75" hidden="false" customHeight="true" outlineLevel="0" collapsed="false">
      <c r="A75" s="68" t="str">
        <f aca="false">IF(Costos!$A89="","",Costos!$A89)</f>
        <v>Anillo Vera</v>
      </c>
      <c r="B75" s="68" t="str">
        <f aca="false">IF(Costos!$A89="","",Costos!$B89&amp;"")</f>
        <v>Plata 925</v>
      </c>
      <c r="C75" s="68" t="str">
        <f aca="false">IF(Costos!$A89="","",Costos!$C89&amp;"")</f>
        <v>Anillo</v>
      </c>
      <c r="D75" s="69" t="n">
        <f aca="false">IF($A75="","",SUMIFS(Compras!$D$6:$D$605,Compras!$B$6:$B$605,$A75,Compras!$C$6:$C$605,"Único")-SUMIFS(Ventas!$D$6:$D$605,Ventas!$B$6:$B$605,$A75,Ventas!$C$6:$C$605,"Único"))</f>
        <v>0</v>
      </c>
      <c r="E75" s="69" t="n">
        <f aca="false">IF($A75="","",IF(LEFT($C75,6)="Anillo",SUMIFS(Compras!$D$6:$D$605,Compras!$B$6:$B$605,$A75,Compras!$C$6:$C$605,"Chico")-SUMIFS(Ventas!$D$6:$D$605,Ventas!$B$6:$B$605,$A75,Ventas!$C$6:$C$605,"Chico"),""))</f>
        <v>0</v>
      </c>
      <c r="F75" s="69" t="n">
        <f aca="false">IF($A75="","",IF(LEFT($C75,6)="Anillo",SUMIFS(Compras!$D$6:$D$605,Compras!$B$6:$B$605,$A75,Compras!$C$6:$C$605,"Mediano")-SUMIFS(Ventas!$D$6:$D$605,Ventas!$B$6:$B$605,$A75,Ventas!$C$6:$C$605,"Mediano"),""))</f>
        <v>2</v>
      </c>
      <c r="G75" s="69" t="n">
        <f aca="false">IF($A75="","",IF(LEFT($C75,6)="Anillo",SUMIFS(Compras!$D$6:$D$605,Compras!$B$6:$B$605,$A75,Compras!$C$6:$C$605,"Grande")-SUMIFS(Ventas!$D$6:$D$605,Ventas!$B$6:$B$605,$A75,Ventas!$C$6:$C$605,"Grande"),""))</f>
        <v>0</v>
      </c>
      <c r="H75" s="69" t="n">
        <f aca="false">IF($A75="","",N($D75)+N($E75)+N($F75)+N($G75))</f>
        <v>2</v>
      </c>
      <c r="I75" s="70" t="str">
        <f aca="false">IF($A75="","",IF(N($H75)&lt;=0,"SIN STOCK",IF(LEFT($C75,6)="Anillo",IF(IF(AND(SUMIFS(Compras!$D$6:$D$605,Compras!$B$6:$B$605,$A75,Compras!$C$6:$C$605,"Chico")&gt;0,N($E75)&lt;=$B$5),"C ","")&amp;IF(AND(SUMIFS(Compras!$D$6:$D$605,Compras!$B$6:$B$605,$A75,Compras!$C$6:$C$605,"Mediano")&gt;0,N($F75)&lt;=$B$5),"M ","")&amp;IF(AND(SUMIFS(Compras!$D$6:$D$605,Compras!$B$6:$B$605,$A75,Compras!$C$6:$C$605,"Grande")&gt;0,N($G75)&lt;=$B$5),"G","")="","","Reponer "&amp;IF(AND(SUMIFS(Compras!$D$6:$D$605,Compras!$B$6:$B$605,$A75,Compras!$C$6:$C$605,"Chico")&gt;0,N($E75)&lt;=$B$5),"C ","")&amp;IF(AND(SUMIFS(Compras!$D$6:$D$605,Compras!$B$6:$B$605,$A75,Compras!$C$6:$C$605,"Mediano")&gt;0,N($F75)&lt;=$B$5),"M ","")&amp;IF(AND(SUMIFS(Compras!$D$6:$D$605,Compras!$B$6:$B$605,$A75,Compras!$C$6:$C$605,"Grande")&gt;0,N($G75)&lt;=$B$5),"G","")),IF(N($H75)&lt;=$B$5,"REPONER",""))))</f>
        <v>Reponer G</v>
      </c>
      <c r="J75" s="69" t="n">
        <f aca="false">IF($A75="","",SUMIFS(Ventas!$D$6:$D$605,Ventas!$B$6:$B$605,$A75))</f>
        <v>1</v>
      </c>
      <c r="K75" s="45" t="n">
        <f aca="false">IF($A75="","",SUMIFS(Ventas!$F$6:$F$605,Ventas!$B$6:$B$605,$A75))</f>
        <v>22500</v>
      </c>
    </row>
    <row r="76" customFormat="false" ht="15.75" hidden="false" customHeight="true" outlineLevel="0" collapsed="false">
      <c r="A76" s="68" t="str">
        <f aca="false">IF(Costos!$A90="","",Costos!$A90)</f>
        <v>Cubic Circulo (5mm)</v>
      </c>
      <c r="B76" s="68" t="str">
        <f aca="false">IF(Costos!$A90="","",Costos!$B90&amp;"")</f>
        <v>Plata 925</v>
      </c>
      <c r="C76" s="68" t="str">
        <f aca="false">IF(Costos!$A90="","",Costos!$C90&amp;"")</f>
        <v>Aros</v>
      </c>
      <c r="D76" s="69" t="n">
        <f aca="false">IF($A76="","",SUMIFS(Compras!$D$6:$D$605,Compras!$B$6:$B$605,$A76,Compras!$C$6:$C$605,"Único")-SUMIFS(Ventas!$D$6:$D$605,Ventas!$B$6:$B$605,$A76,Ventas!$C$6:$C$605,"Único"))</f>
        <v>2</v>
      </c>
      <c r="E76" s="69" t="str">
        <f aca="false">IF($A76="","",IF(LEFT($C76,6)="Anillo",SUMIFS(Compras!$D$6:$D$605,Compras!$B$6:$B$605,$A76,Compras!$C$6:$C$605,"Chico")-SUMIFS(Ventas!$D$6:$D$605,Ventas!$B$6:$B$605,$A76,Ventas!$C$6:$C$605,"Chico"),""))</f>
        <v/>
      </c>
      <c r="F76" s="69" t="str">
        <f aca="false">IF($A76="","",IF(LEFT($C76,6)="Anillo",SUMIFS(Compras!$D$6:$D$605,Compras!$B$6:$B$605,$A76,Compras!$C$6:$C$605,"Mediano")-SUMIFS(Ventas!$D$6:$D$605,Ventas!$B$6:$B$605,$A76,Ventas!$C$6:$C$605,"Mediano"),""))</f>
        <v/>
      </c>
      <c r="G76" s="69" t="str">
        <f aca="false">IF($A76="","",IF(LEFT($C76,6)="Anillo",SUMIFS(Compras!$D$6:$D$605,Compras!$B$6:$B$605,$A76,Compras!$C$6:$C$605,"Grande")-SUMIFS(Ventas!$D$6:$D$605,Ventas!$B$6:$B$605,$A76,Ventas!$C$6:$C$605,"Grande"),""))</f>
        <v/>
      </c>
      <c r="H76" s="69" t="n">
        <f aca="false">IF($A76="","",N($D76)+N($E76)+N($F76)+N($G76))</f>
        <v>2</v>
      </c>
      <c r="I76" s="70" t="str">
        <f aca="false">IF($A76="","",IF(N($H76)&lt;=0,"SIN STOCK",IF(LEFT($C76,6)="Anillo",IF(IF(AND(SUMIFS(Compras!$D$6:$D$605,Compras!$B$6:$B$605,$A76,Compras!$C$6:$C$605,"Chico")&gt;0,N($E76)&lt;=$B$5),"C ","")&amp;IF(AND(SUMIFS(Compras!$D$6:$D$605,Compras!$B$6:$B$605,$A76,Compras!$C$6:$C$605,"Mediano")&gt;0,N($F76)&lt;=$B$5),"M ","")&amp;IF(AND(SUMIFS(Compras!$D$6:$D$605,Compras!$B$6:$B$605,$A76,Compras!$C$6:$C$605,"Grande")&gt;0,N($G76)&lt;=$B$5),"G","")="","","Reponer "&amp;IF(AND(SUMIFS(Compras!$D$6:$D$605,Compras!$B$6:$B$605,$A76,Compras!$C$6:$C$605,"Chico")&gt;0,N($E76)&lt;=$B$5),"C ","")&amp;IF(AND(SUMIFS(Compras!$D$6:$D$605,Compras!$B$6:$B$605,$A76,Compras!$C$6:$C$605,"Mediano")&gt;0,N($F76)&lt;=$B$5),"M ","")&amp;IF(AND(SUMIFS(Compras!$D$6:$D$605,Compras!$B$6:$B$605,$A76,Compras!$C$6:$C$605,"Grande")&gt;0,N($G76)&lt;=$B$5),"G","")),IF(N($H76)&lt;=$B$5,"REPONER",""))))</f>
        <v/>
      </c>
      <c r="J76" s="69" t="n">
        <f aca="false">IF($A76="","",SUMIFS(Ventas!$D$6:$D$605,Ventas!$B$6:$B$605,$A76))</f>
        <v>0</v>
      </c>
      <c r="K76" s="45" t="n">
        <f aca="false">IF($A76="","",SUMIFS(Ventas!$F$6:$F$605,Ventas!$B$6:$B$605,$A76))</f>
        <v>0</v>
      </c>
    </row>
    <row r="77" customFormat="false" ht="15.75" hidden="false" customHeight="true" outlineLevel="0" collapsed="false">
      <c r="A77" s="68" t="str">
        <f aca="false">IF(Costos!$A91="","",Costos!$A91)</f>
        <v>Aritos Perlas (4mm)</v>
      </c>
      <c r="B77" s="68" t="str">
        <f aca="false">IF(Costos!$A91="","",Costos!$B91&amp;"")</f>
        <v>Plata 925</v>
      </c>
      <c r="C77" s="68" t="str">
        <f aca="false">IF(Costos!$A91="","",Costos!$C91&amp;"")</f>
        <v>Aros</v>
      </c>
      <c r="D77" s="69" t="n">
        <f aca="false">IF($A77="","",SUMIFS(Compras!$D$6:$D$605,Compras!$B$6:$B$605,$A77,Compras!$C$6:$C$605,"Único")-SUMIFS(Ventas!$D$6:$D$605,Ventas!$B$6:$B$605,$A77,Ventas!$C$6:$C$605,"Único"))</f>
        <v>2</v>
      </c>
      <c r="E77" s="69" t="str">
        <f aca="false">IF($A77="","",IF(LEFT($C77,6)="Anillo",SUMIFS(Compras!$D$6:$D$605,Compras!$B$6:$B$605,$A77,Compras!$C$6:$C$605,"Chico")-SUMIFS(Ventas!$D$6:$D$605,Ventas!$B$6:$B$605,$A77,Ventas!$C$6:$C$605,"Chico"),""))</f>
        <v/>
      </c>
      <c r="F77" s="69" t="str">
        <f aca="false">IF($A77="","",IF(LEFT($C77,6)="Anillo",SUMIFS(Compras!$D$6:$D$605,Compras!$B$6:$B$605,$A77,Compras!$C$6:$C$605,"Mediano")-SUMIFS(Ventas!$D$6:$D$605,Ventas!$B$6:$B$605,$A77,Ventas!$C$6:$C$605,"Mediano"),""))</f>
        <v/>
      </c>
      <c r="G77" s="69" t="str">
        <f aca="false">IF($A77="","",IF(LEFT($C77,6)="Anillo",SUMIFS(Compras!$D$6:$D$605,Compras!$B$6:$B$605,$A77,Compras!$C$6:$C$605,"Grande")-SUMIFS(Ventas!$D$6:$D$605,Ventas!$B$6:$B$605,$A77,Ventas!$C$6:$C$605,"Grande"),""))</f>
        <v/>
      </c>
      <c r="H77" s="69" t="n">
        <f aca="false">IF($A77="","",N($D77)+N($E77)+N($F77)+N($G77))</f>
        <v>2</v>
      </c>
      <c r="I77" s="70" t="str">
        <f aca="false">IF($A77="","",IF(N($H77)&lt;=0,"SIN STOCK",IF(LEFT($C77,6)="Anillo",IF(IF(AND(SUMIFS(Compras!$D$6:$D$605,Compras!$B$6:$B$605,$A77,Compras!$C$6:$C$605,"Chico")&gt;0,N($E77)&lt;=$B$5),"C ","")&amp;IF(AND(SUMIFS(Compras!$D$6:$D$605,Compras!$B$6:$B$605,$A77,Compras!$C$6:$C$605,"Mediano")&gt;0,N($F77)&lt;=$B$5),"M ","")&amp;IF(AND(SUMIFS(Compras!$D$6:$D$605,Compras!$B$6:$B$605,$A77,Compras!$C$6:$C$605,"Grande")&gt;0,N($G77)&lt;=$B$5),"G","")="","","Reponer "&amp;IF(AND(SUMIFS(Compras!$D$6:$D$605,Compras!$B$6:$B$605,$A77,Compras!$C$6:$C$605,"Chico")&gt;0,N($E77)&lt;=$B$5),"C ","")&amp;IF(AND(SUMIFS(Compras!$D$6:$D$605,Compras!$B$6:$B$605,$A77,Compras!$C$6:$C$605,"Mediano")&gt;0,N($F77)&lt;=$B$5),"M ","")&amp;IF(AND(SUMIFS(Compras!$D$6:$D$605,Compras!$B$6:$B$605,$A77,Compras!$C$6:$C$605,"Grande")&gt;0,N($G77)&lt;=$B$5),"G","")),IF(N($H77)&lt;=$B$5,"REPONER",""))))</f>
        <v/>
      </c>
      <c r="J77" s="69" t="n">
        <f aca="false">IF($A77="","",SUMIFS(Ventas!$D$6:$D$605,Ventas!$B$6:$B$605,$A77))</f>
        <v>0</v>
      </c>
      <c r="K77" s="45" t="n">
        <f aca="false">IF($A77="","",SUMIFS(Ventas!$F$6:$F$605,Ventas!$B$6:$B$605,$A77))</f>
        <v>0</v>
      </c>
    </row>
    <row r="78" customFormat="false" ht="15.75" hidden="false" customHeight="true" outlineLevel="0" collapsed="false">
      <c r="A78" s="68" t="str">
        <f aca="false">IF(Costos!$A92="","",Costos!$A92)</f>
        <v>Argollitas Marco (10mm)</v>
      </c>
      <c r="B78" s="68" t="str">
        <f aca="false">IF(Costos!$A92="","",Costos!$B92&amp;"")</f>
        <v>Plata 925</v>
      </c>
      <c r="C78" s="68" t="str">
        <f aca="false">IF(Costos!$A92="","",Costos!$C92&amp;"")</f>
        <v>Aros</v>
      </c>
      <c r="D78" s="69" t="n">
        <f aca="false">IF($A78="","",SUMIFS(Compras!$D$6:$D$605,Compras!$B$6:$B$605,$A78,Compras!$C$6:$C$605,"Único")-SUMIFS(Ventas!$D$6:$D$605,Ventas!$B$6:$B$605,$A78,Ventas!$C$6:$C$605,"Único"))</f>
        <v>0</v>
      </c>
      <c r="E78" s="69" t="str">
        <f aca="false">IF($A78="","",IF(LEFT($C78,6)="Anillo",SUMIFS(Compras!$D$6:$D$605,Compras!$B$6:$B$605,$A78,Compras!$C$6:$C$605,"Chico")-SUMIFS(Ventas!$D$6:$D$605,Ventas!$B$6:$B$605,$A78,Ventas!$C$6:$C$605,"Chico"),""))</f>
        <v/>
      </c>
      <c r="F78" s="69" t="str">
        <f aca="false">IF($A78="","",IF(LEFT($C78,6)="Anillo",SUMIFS(Compras!$D$6:$D$605,Compras!$B$6:$B$605,$A78,Compras!$C$6:$C$605,"Mediano")-SUMIFS(Ventas!$D$6:$D$605,Ventas!$B$6:$B$605,$A78,Ventas!$C$6:$C$605,"Mediano"),""))</f>
        <v/>
      </c>
      <c r="G78" s="69" t="str">
        <f aca="false">IF($A78="","",IF(LEFT($C78,6)="Anillo",SUMIFS(Compras!$D$6:$D$605,Compras!$B$6:$B$605,$A78,Compras!$C$6:$C$605,"Grande")-SUMIFS(Ventas!$D$6:$D$605,Ventas!$B$6:$B$605,$A78,Ventas!$C$6:$C$605,"Grande"),""))</f>
        <v/>
      </c>
      <c r="H78" s="69" t="n">
        <f aca="false">IF($A78="","",N($D78)+N($E78)+N($F78)+N($G78))</f>
        <v>0</v>
      </c>
      <c r="I78" s="70" t="str">
        <f aca="false">IF($A78="","",IF(N($H78)&lt;=0,"SIN STOCK",IF(LEFT($C78,6)="Anillo",IF(IF(AND(SUMIFS(Compras!$D$6:$D$605,Compras!$B$6:$B$605,$A78,Compras!$C$6:$C$605,"Chico")&gt;0,N($E78)&lt;=$B$5),"C ","")&amp;IF(AND(SUMIFS(Compras!$D$6:$D$605,Compras!$B$6:$B$605,$A78,Compras!$C$6:$C$605,"Mediano")&gt;0,N($F78)&lt;=$B$5),"M ","")&amp;IF(AND(SUMIFS(Compras!$D$6:$D$605,Compras!$B$6:$B$605,$A78,Compras!$C$6:$C$605,"Grande")&gt;0,N($G78)&lt;=$B$5),"G","")="","","Reponer "&amp;IF(AND(SUMIFS(Compras!$D$6:$D$605,Compras!$B$6:$B$605,$A78,Compras!$C$6:$C$605,"Chico")&gt;0,N($E78)&lt;=$B$5),"C ","")&amp;IF(AND(SUMIFS(Compras!$D$6:$D$605,Compras!$B$6:$B$605,$A78,Compras!$C$6:$C$605,"Mediano")&gt;0,N($F78)&lt;=$B$5),"M ","")&amp;IF(AND(SUMIFS(Compras!$D$6:$D$605,Compras!$B$6:$B$605,$A78,Compras!$C$6:$C$605,"Grande")&gt;0,N($G78)&lt;=$B$5),"G","")),IF(N($H78)&lt;=$B$5,"REPONER",""))))</f>
        <v>SIN STOCK</v>
      </c>
      <c r="J78" s="69" t="n">
        <f aca="false">IF($A78="","",SUMIFS(Ventas!$D$6:$D$605,Ventas!$B$6:$B$605,$A78))</f>
        <v>0</v>
      </c>
      <c r="K78" s="45" t="n">
        <f aca="false">IF($A78="","",SUMIFS(Ventas!$F$6:$F$605,Ventas!$B$6:$B$605,$A78))</f>
        <v>0</v>
      </c>
    </row>
    <row r="79" customFormat="false" ht="15.75" hidden="false" customHeight="true" outlineLevel="0" collapsed="false">
      <c r="A79" s="68" t="str">
        <f aca="false">IF(Costos!$A93="","",Costos!$A93)</f>
        <v>Argollitas Espiga (15mm)</v>
      </c>
      <c r="B79" s="68" t="str">
        <f aca="false">IF(Costos!$A93="","",Costos!$B93&amp;"")</f>
        <v>Plata 925</v>
      </c>
      <c r="C79" s="68" t="str">
        <f aca="false">IF(Costos!$A93="","",Costos!$C93&amp;"")</f>
        <v>Aros</v>
      </c>
      <c r="D79" s="69" t="n">
        <f aca="false">IF($A79="","",SUMIFS(Compras!$D$6:$D$605,Compras!$B$6:$B$605,$A79,Compras!$C$6:$C$605,"Único")-SUMIFS(Ventas!$D$6:$D$605,Ventas!$B$6:$B$605,$A79,Ventas!$C$6:$C$605,"Único"))</f>
        <v>1</v>
      </c>
      <c r="E79" s="69" t="str">
        <f aca="false">IF($A79="","",IF(LEFT($C79,6)="Anillo",SUMIFS(Compras!$D$6:$D$605,Compras!$B$6:$B$605,$A79,Compras!$C$6:$C$605,"Chico")-SUMIFS(Ventas!$D$6:$D$605,Ventas!$B$6:$B$605,$A79,Ventas!$C$6:$C$605,"Chico"),""))</f>
        <v/>
      </c>
      <c r="F79" s="69" t="str">
        <f aca="false">IF($A79="","",IF(LEFT($C79,6)="Anillo",SUMIFS(Compras!$D$6:$D$605,Compras!$B$6:$B$605,$A79,Compras!$C$6:$C$605,"Mediano")-SUMIFS(Ventas!$D$6:$D$605,Ventas!$B$6:$B$605,$A79,Ventas!$C$6:$C$605,"Mediano"),""))</f>
        <v/>
      </c>
      <c r="G79" s="69" t="str">
        <f aca="false">IF($A79="","",IF(LEFT($C79,6)="Anillo",SUMIFS(Compras!$D$6:$D$605,Compras!$B$6:$B$605,$A79,Compras!$C$6:$C$605,"Grande")-SUMIFS(Ventas!$D$6:$D$605,Ventas!$B$6:$B$605,$A79,Ventas!$C$6:$C$605,"Grande"),""))</f>
        <v/>
      </c>
      <c r="H79" s="69" t="n">
        <f aca="false">IF($A79="","",N($D79)+N($E79)+N($F79)+N($G79))</f>
        <v>1</v>
      </c>
      <c r="I79" s="70" t="str">
        <f aca="false">IF($A79="","",IF(N($H79)&lt;=0,"SIN STOCK",IF(LEFT($C79,6)="Anillo",IF(IF(AND(SUMIFS(Compras!$D$6:$D$605,Compras!$B$6:$B$605,$A79,Compras!$C$6:$C$605,"Chico")&gt;0,N($E79)&lt;=$B$5),"C ","")&amp;IF(AND(SUMIFS(Compras!$D$6:$D$605,Compras!$B$6:$B$605,$A79,Compras!$C$6:$C$605,"Mediano")&gt;0,N($F79)&lt;=$B$5),"M ","")&amp;IF(AND(SUMIFS(Compras!$D$6:$D$605,Compras!$B$6:$B$605,$A79,Compras!$C$6:$C$605,"Grande")&gt;0,N($G79)&lt;=$B$5),"G","")="","","Reponer "&amp;IF(AND(SUMIFS(Compras!$D$6:$D$605,Compras!$B$6:$B$605,$A79,Compras!$C$6:$C$605,"Chico")&gt;0,N($E79)&lt;=$B$5),"C ","")&amp;IF(AND(SUMIFS(Compras!$D$6:$D$605,Compras!$B$6:$B$605,$A79,Compras!$C$6:$C$605,"Mediano")&gt;0,N($F79)&lt;=$B$5),"M ","")&amp;IF(AND(SUMIFS(Compras!$D$6:$D$605,Compras!$B$6:$B$605,$A79,Compras!$C$6:$C$605,"Grande")&gt;0,N($G79)&lt;=$B$5),"G","")),IF(N($H79)&lt;=$B$5,"REPONER",""))))</f>
        <v>REPONER</v>
      </c>
      <c r="J79" s="69" t="n">
        <f aca="false">IF($A79="","",SUMIFS(Ventas!$D$6:$D$605,Ventas!$B$6:$B$605,$A79))</f>
        <v>0</v>
      </c>
      <c r="K79" s="45" t="n">
        <f aca="false">IF($A79="","",SUMIFS(Ventas!$F$6:$F$605,Ventas!$B$6:$B$605,$A79))</f>
        <v>0</v>
      </c>
    </row>
    <row r="80" customFormat="false" ht="15.75" hidden="false" customHeight="true" outlineLevel="0" collapsed="false">
      <c r="A80" s="68" t="str">
        <f aca="false">IF(Costos!$A94="","",Costos!$A94)</f>
        <v>Aritos Corazón </v>
      </c>
      <c r="B80" s="68" t="str">
        <f aca="false">IF(Costos!$A94="","",Costos!$B94&amp;"")</f>
        <v>Plata 925</v>
      </c>
      <c r="C80" s="68" t="str">
        <f aca="false">IF(Costos!$A94="","",Costos!$C94&amp;"")</f>
        <v>Aros</v>
      </c>
      <c r="D80" s="69" t="n">
        <f aca="false">IF($A80="","",SUMIFS(Compras!$D$6:$D$605,Compras!$B$6:$B$605,$A80,Compras!$C$6:$C$605,"Único")-SUMIFS(Ventas!$D$6:$D$605,Ventas!$B$6:$B$605,$A80,Ventas!$C$6:$C$605,"Único"))</f>
        <v>1</v>
      </c>
      <c r="E80" s="69" t="str">
        <f aca="false">IF($A80="","",IF(LEFT($C80,6)="Anillo",SUMIFS(Compras!$D$6:$D$605,Compras!$B$6:$B$605,$A80,Compras!$C$6:$C$605,"Chico")-SUMIFS(Ventas!$D$6:$D$605,Ventas!$B$6:$B$605,$A80,Ventas!$C$6:$C$605,"Chico"),""))</f>
        <v/>
      </c>
      <c r="F80" s="69" t="str">
        <f aca="false">IF($A80="","",IF(LEFT($C80,6)="Anillo",SUMIFS(Compras!$D$6:$D$605,Compras!$B$6:$B$605,$A80,Compras!$C$6:$C$605,"Mediano")-SUMIFS(Ventas!$D$6:$D$605,Ventas!$B$6:$B$605,$A80,Ventas!$C$6:$C$605,"Mediano"),""))</f>
        <v/>
      </c>
      <c r="G80" s="69" t="str">
        <f aca="false">IF($A80="","",IF(LEFT($C80,6)="Anillo",SUMIFS(Compras!$D$6:$D$605,Compras!$B$6:$B$605,$A80,Compras!$C$6:$C$605,"Grande")-SUMIFS(Ventas!$D$6:$D$605,Ventas!$B$6:$B$605,$A80,Ventas!$C$6:$C$605,"Grande"),""))</f>
        <v/>
      </c>
      <c r="H80" s="69" t="n">
        <f aca="false">IF($A80="","",N($D80)+N($E80)+N($F80)+N($G80))</f>
        <v>1</v>
      </c>
      <c r="I80" s="70" t="str">
        <f aca="false">IF($A80="","",IF(N($H80)&lt;=0,"SIN STOCK",IF(LEFT($C80,6)="Anillo",IF(IF(AND(SUMIFS(Compras!$D$6:$D$605,Compras!$B$6:$B$605,$A80,Compras!$C$6:$C$605,"Chico")&gt;0,N($E80)&lt;=$B$5),"C ","")&amp;IF(AND(SUMIFS(Compras!$D$6:$D$605,Compras!$B$6:$B$605,$A80,Compras!$C$6:$C$605,"Mediano")&gt;0,N($F80)&lt;=$B$5),"M ","")&amp;IF(AND(SUMIFS(Compras!$D$6:$D$605,Compras!$B$6:$B$605,$A80,Compras!$C$6:$C$605,"Grande")&gt;0,N($G80)&lt;=$B$5),"G","")="","","Reponer "&amp;IF(AND(SUMIFS(Compras!$D$6:$D$605,Compras!$B$6:$B$605,$A80,Compras!$C$6:$C$605,"Chico")&gt;0,N($E80)&lt;=$B$5),"C ","")&amp;IF(AND(SUMIFS(Compras!$D$6:$D$605,Compras!$B$6:$B$605,$A80,Compras!$C$6:$C$605,"Mediano")&gt;0,N($F80)&lt;=$B$5),"M ","")&amp;IF(AND(SUMIFS(Compras!$D$6:$D$605,Compras!$B$6:$B$605,$A80,Compras!$C$6:$C$605,"Grande")&gt;0,N($G80)&lt;=$B$5),"G","")),IF(N($H80)&lt;=$B$5,"REPONER",""))))</f>
        <v>REPONER</v>
      </c>
      <c r="J80" s="69" t="n">
        <f aca="false">IF($A80="","",SUMIFS(Ventas!$D$6:$D$605,Ventas!$B$6:$B$605,$A80))</f>
        <v>0</v>
      </c>
      <c r="K80" s="45" t="n">
        <f aca="false">IF($A80="","",SUMIFS(Ventas!$F$6:$F$605,Ventas!$B$6:$B$605,$A80))</f>
        <v>0</v>
      </c>
    </row>
    <row r="81" customFormat="false" ht="15.75" hidden="false" customHeight="true" outlineLevel="0" collapsed="false">
      <c r="A81" s="68" t="str">
        <f aca="false">IF(Costos!$A95="","",Costos!$A95)</f>
        <v>Collar Aimee</v>
      </c>
      <c r="B81" s="68" t="str">
        <f aca="false">IF(Costos!$A95="","",Costos!$B95&amp;"")</f>
        <v>Plata 925</v>
      </c>
      <c r="C81" s="68" t="str">
        <f aca="false">IF(Costos!$A95="","",Costos!$C95&amp;"")</f>
        <v>Collar</v>
      </c>
      <c r="D81" s="69" t="n">
        <f aca="false">IF($A81="","",SUMIFS(Compras!$D$6:$D$605,Compras!$B$6:$B$605,$A81,Compras!$C$6:$C$605,"Único")-SUMIFS(Ventas!$D$6:$D$605,Ventas!$B$6:$B$605,$A81,Ventas!$C$6:$C$605,"Único"))</f>
        <v>1</v>
      </c>
      <c r="E81" s="69" t="str">
        <f aca="false">IF($A81="","",IF(LEFT($C81,6)="Anillo",SUMIFS(Compras!$D$6:$D$605,Compras!$B$6:$B$605,$A81,Compras!$C$6:$C$605,"Chico")-SUMIFS(Ventas!$D$6:$D$605,Ventas!$B$6:$B$605,$A81,Ventas!$C$6:$C$605,"Chico"),""))</f>
        <v/>
      </c>
      <c r="F81" s="69" t="str">
        <f aca="false">IF($A81="","",IF(LEFT($C81,6)="Anillo",SUMIFS(Compras!$D$6:$D$605,Compras!$B$6:$B$605,$A81,Compras!$C$6:$C$605,"Mediano")-SUMIFS(Ventas!$D$6:$D$605,Ventas!$B$6:$B$605,$A81,Ventas!$C$6:$C$605,"Mediano"),""))</f>
        <v/>
      </c>
      <c r="G81" s="69" t="str">
        <f aca="false">IF($A81="","",IF(LEFT($C81,6)="Anillo",SUMIFS(Compras!$D$6:$D$605,Compras!$B$6:$B$605,$A81,Compras!$C$6:$C$605,"Grande")-SUMIFS(Ventas!$D$6:$D$605,Ventas!$B$6:$B$605,$A81,Ventas!$C$6:$C$605,"Grande"),""))</f>
        <v/>
      </c>
      <c r="H81" s="69" t="n">
        <f aca="false">IF($A81="","",N($D81)+N($E81)+N($F81)+N($G81))</f>
        <v>1</v>
      </c>
      <c r="I81" s="70" t="str">
        <f aca="false">IF($A81="","",IF(N($H81)&lt;=0,"SIN STOCK",IF(LEFT($C81,6)="Anillo",IF(IF(AND(SUMIFS(Compras!$D$6:$D$605,Compras!$B$6:$B$605,$A81,Compras!$C$6:$C$605,"Chico")&gt;0,N($E81)&lt;=$B$5),"C ","")&amp;IF(AND(SUMIFS(Compras!$D$6:$D$605,Compras!$B$6:$B$605,$A81,Compras!$C$6:$C$605,"Mediano")&gt;0,N($F81)&lt;=$B$5),"M ","")&amp;IF(AND(SUMIFS(Compras!$D$6:$D$605,Compras!$B$6:$B$605,$A81,Compras!$C$6:$C$605,"Grande")&gt;0,N($G81)&lt;=$B$5),"G","")="","","Reponer "&amp;IF(AND(SUMIFS(Compras!$D$6:$D$605,Compras!$B$6:$B$605,$A81,Compras!$C$6:$C$605,"Chico")&gt;0,N($E81)&lt;=$B$5),"C ","")&amp;IF(AND(SUMIFS(Compras!$D$6:$D$605,Compras!$B$6:$B$605,$A81,Compras!$C$6:$C$605,"Mediano")&gt;0,N($F81)&lt;=$B$5),"M ","")&amp;IF(AND(SUMIFS(Compras!$D$6:$D$605,Compras!$B$6:$B$605,$A81,Compras!$C$6:$C$605,"Grande")&gt;0,N($G81)&lt;=$B$5),"G","")),IF(N($H81)&lt;=$B$5,"REPONER",""))))</f>
        <v>REPONER</v>
      </c>
      <c r="J81" s="69" t="n">
        <f aca="false">IF($A81="","",SUMIFS(Ventas!$D$6:$D$605,Ventas!$B$6:$B$605,$A81))</f>
        <v>0</v>
      </c>
      <c r="K81" s="45" t="n">
        <f aca="false">IF($A81="","",SUMIFS(Ventas!$F$6:$F$605,Ventas!$B$6:$B$605,$A81))</f>
        <v>0</v>
      </c>
    </row>
    <row r="82" customFormat="false" ht="15.75" hidden="false" customHeight="true" outlineLevel="0" collapsed="false">
      <c r="A82" s="68" t="str">
        <f aca="false">IF(Costos!$A96="","",Costos!$A96)</f>
        <v/>
      </c>
      <c r="B82" s="68" t="str">
        <f aca="false">IF(Costos!$A96="","",Costos!$B96&amp;"")</f>
        <v/>
      </c>
      <c r="C82" s="68" t="str">
        <f aca="false">IF(Costos!$A96="","",Costos!$C96&amp;"")</f>
        <v/>
      </c>
      <c r="D82" s="69" t="str">
        <f aca="false">IF($A82="","",SUMIFS(Compras!$D$6:$D$605,Compras!$B$6:$B$605,$A82,Compras!$C$6:$C$605,"Único")-SUMIFS(Ventas!$D$6:$D$605,Ventas!$B$6:$B$605,$A82,Ventas!$C$6:$C$605,"Único"))</f>
        <v/>
      </c>
      <c r="E82" s="69" t="str">
        <f aca="false">IF($A82="","",IF(LEFT($C82,6)="Anillo",SUMIFS(Compras!$D$6:$D$605,Compras!$B$6:$B$605,$A82,Compras!$C$6:$C$605,"Chico")-SUMIFS(Ventas!$D$6:$D$605,Ventas!$B$6:$B$605,$A82,Ventas!$C$6:$C$605,"Chico"),""))</f>
        <v/>
      </c>
      <c r="F82" s="69" t="str">
        <f aca="false">IF($A82="","",IF(LEFT($C82,6)="Anillo",SUMIFS(Compras!$D$6:$D$605,Compras!$B$6:$B$605,$A82,Compras!$C$6:$C$605,"Mediano")-SUMIFS(Ventas!$D$6:$D$605,Ventas!$B$6:$B$605,$A82,Ventas!$C$6:$C$605,"Mediano"),""))</f>
        <v/>
      </c>
      <c r="G82" s="69" t="str">
        <f aca="false">IF($A82="","",IF(LEFT($C82,6)="Anillo",SUMIFS(Compras!$D$6:$D$605,Compras!$B$6:$B$605,$A82,Compras!$C$6:$C$605,"Grande")-SUMIFS(Ventas!$D$6:$D$605,Ventas!$B$6:$B$605,$A82,Ventas!$C$6:$C$605,"Grande"),""))</f>
        <v/>
      </c>
      <c r="H82" s="69" t="str">
        <f aca="false">IF($A82="","",N($D82)+N($E82)+N($F82)+N($G82))</f>
        <v/>
      </c>
      <c r="I82" s="70" t="str">
        <f aca="false">IF($A82="","",IF(N($H82)&lt;=0,"SIN STOCK",IF(LEFT($C82,6)="Anillo",IF(IF(AND(SUMIFS(Compras!$D$6:$D$605,Compras!$B$6:$B$605,$A82,Compras!$C$6:$C$605,"Chico")&gt;0,N($E82)&lt;=$B$5),"C ","")&amp;IF(AND(SUMIFS(Compras!$D$6:$D$605,Compras!$B$6:$B$605,$A82,Compras!$C$6:$C$605,"Mediano")&gt;0,N($F82)&lt;=$B$5),"M ","")&amp;IF(AND(SUMIFS(Compras!$D$6:$D$605,Compras!$B$6:$B$605,$A82,Compras!$C$6:$C$605,"Grande")&gt;0,N($G82)&lt;=$B$5),"G","")="","","Reponer "&amp;IF(AND(SUMIFS(Compras!$D$6:$D$605,Compras!$B$6:$B$605,$A82,Compras!$C$6:$C$605,"Chico")&gt;0,N($E82)&lt;=$B$5),"C ","")&amp;IF(AND(SUMIFS(Compras!$D$6:$D$605,Compras!$B$6:$B$605,$A82,Compras!$C$6:$C$605,"Mediano")&gt;0,N($F82)&lt;=$B$5),"M ","")&amp;IF(AND(SUMIFS(Compras!$D$6:$D$605,Compras!$B$6:$B$605,$A82,Compras!$C$6:$C$605,"Grande")&gt;0,N($G82)&lt;=$B$5),"G","")),IF(N($H82)&lt;=$B$5,"REPONER",""))))</f>
        <v/>
      </c>
      <c r="J82" s="69" t="str">
        <f aca="false">IF($A82="","",SUMIFS(Ventas!$D$6:$D$605,Ventas!$B$6:$B$605,$A82))</f>
        <v/>
      </c>
      <c r="K82" s="45" t="str">
        <f aca="false">IF($A82="","",SUMIFS(Ventas!$F$6:$F$605,Ventas!$B$6:$B$605,$A82))</f>
        <v/>
      </c>
    </row>
    <row r="83" customFormat="false" ht="15.75" hidden="false" customHeight="true" outlineLevel="0" collapsed="false">
      <c r="A83" s="68" t="str">
        <f aca="false">IF(Costos!$A97="","",Costos!$A97)</f>
        <v/>
      </c>
      <c r="B83" s="68" t="str">
        <f aca="false">IF(Costos!$A97="","",Costos!$B97&amp;"")</f>
        <v/>
      </c>
      <c r="C83" s="68" t="str">
        <f aca="false">IF(Costos!$A97="","",Costos!$C97&amp;"")</f>
        <v/>
      </c>
      <c r="D83" s="69" t="str">
        <f aca="false">IF($A83="","",SUMIFS(Compras!$D$6:$D$605,Compras!$B$6:$B$605,$A83,Compras!$C$6:$C$605,"Único")-SUMIFS(Ventas!$D$6:$D$605,Ventas!$B$6:$B$605,$A83,Ventas!$C$6:$C$605,"Único"))</f>
        <v/>
      </c>
      <c r="E83" s="69" t="str">
        <f aca="false">IF($A83="","",IF(LEFT($C83,6)="Anillo",SUMIFS(Compras!$D$6:$D$605,Compras!$B$6:$B$605,$A83,Compras!$C$6:$C$605,"Chico")-SUMIFS(Ventas!$D$6:$D$605,Ventas!$B$6:$B$605,$A83,Ventas!$C$6:$C$605,"Chico"),""))</f>
        <v/>
      </c>
      <c r="F83" s="69" t="str">
        <f aca="false">IF($A83="","",IF(LEFT($C83,6)="Anillo",SUMIFS(Compras!$D$6:$D$605,Compras!$B$6:$B$605,$A83,Compras!$C$6:$C$605,"Mediano")-SUMIFS(Ventas!$D$6:$D$605,Ventas!$B$6:$B$605,$A83,Ventas!$C$6:$C$605,"Mediano"),""))</f>
        <v/>
      </c>
      <c r="G83" s="69" t="str">
        <f aca="false">IF($A83="","",IF(LEFT($C83,6)="Anillo",SUMIFS(Compras!$D$6:$D$605,Compras!$B$6:$B$605,$A83,Compras!$C$6:$C$605,"Grande")-SUMIFS(Ventas!$D$6:$D$605,Ventas!$B$6:$B$605,$A83,Ventas!$C$6:$C$605,"Grande"),""))</f>
        <v/>
      </c>
      <c r="H83" s="69" t="str">
        <f aca="false">IF($A83="","",N($D83)+N($E83)+N($F83)+N($G83))</f>
        <v/>
      </c>
      <c r="I83" s="70" t="str">
        <f aca="false">IF($A83="","",IF(N($H83)&lt;=0,"SIN STOCK",IF(LEFT($C83,6)="Anillo",IF(IF(AND(SUMIFS(Compras!$D$6:$D$605,Compras!$B$6:$B$605,$A83,Compras!$C$6:$C$605,"Chico")&gt;0,N($E83)&lt;=$B$5),"C ","")&amp;IF(AND(SUMIFS(Compras!$D$6:$D$605,Compras!$B$6:$B$605,$A83,Compras!$C$6:$C$605,"Mediano")&gt;0,N($F83)&lt;=$B$5),"M ","")&amp;IF(AND(SUMIFS(Compras!$D$6:$D$605,Compras!$B$6:$B$605,$A83,Compras!$C$6:$C$605,"Grande")&gt;0,N($G83)&lt;=$B$5),"G","")="","","Reponer "&amp;IF(AND(SUMIFS(Compras!$D$6:$D$605,Compras!$B$6:$B$605,$A83,Compras!$C$6:$C$605,"Chico")&gt;0,N($E83)&lt;=$B$5),"C ","")&amp;IF(AND(SUMIFS(Compras!$D$6:$D$605,Compras!$B$6:$B$605,$A83,Compras!$C$6:$C$605,"Mediano")&gt;0,N($F83)&lt;=$B$5),"M ","")&amp;IF(AND(SUMIFS(Compras!$D$6:$D$605,Compras!$B$6:$B$605,$A83,Compras!$C$6:$C$605,"Grande")&gt;0,N($G83)&lt;=$B$5),"G","")),IF(N($H83)&lt;=$B$5,"REPONER",""))))</f>
        <v/>
      </c>
      <c r="J83" s="69" t="str">
        <f aca="false">IF($A83="","",SUMIFS(Ventas!$D$6:$D$605,Ventas!$B$6:$B$605,$A83))</f>
        <v/>
      </c>
      <c r="K83" s="45" t="str">
        <f aca="false">IF($A83="","",SUMIFS(Ventas!$F$6:$F$605,Ventas!$B$6:$B$605,$A83))</f>
        <v/>
      </c>
    </row>
    <row r="84" customFormat="false" ht="15.75" hidden="false" customHeight="true" outlineLevel="0" collapsed="false">
      <c r="A84" s="68" t="str">
        <f aca="false">IF(Costos!$A98="","",Costos!$A98)</f>
        <v>Collar Delta</v>
      </c>
      <c r="B84" s="68" t="str">
        <f aca="false">IF(Costos!$A98="","",Costos!$B98&amp;"")</f>
        <v>Boho Colection</v>
      </c>
      <c r="C84" s="68" t="str">
        <f aca="false">IF(Costos!$A98="","",Costos!$C98&amp;"")</f>
        <v>Collar</v>
      </c>
      <c r="D84" s="69" t="n">
        <f aca="false">IF($A84="","",SUMIFS(Compras!$D$6:$D$605,Compras!$B$6:$B$605,$A84,Compras!$C$6:$C$605,"Único")-SUMIFS(Ventas!$D$6:$D$605,Ventas!$B$6:$B$605,$A84,Ventas!$C$6:$C$605,"Único"))</f>
        <v>1</v>
      </c>
      <c r="E84" s="69" t="str">
        <f aca="false">IF($A84="","",IF(LEFT($C84,6)="Anillo",SUMIFS(Compras!$D$6:$D$605,Compras!$B$6:$B$605,$A84,Compras!$C$6:$C$605,"Chico")-SUMIFS(Ventas!$D$6:$D$605,Ventas!$B$6:$B$605,$A84,Ventas!$C$6:$C$605,"Chico"),""))</f>
        <v/>
      </c>
      <c r="F84" s="69" t="str">
        <f aca="false">IF($A84="","",IF(LEFT($C84,6)="Anillo",SUMIFS(Compras!$D$6:$D$605,Compras!$B$6:$B$605,$A84,Compras!$C$6:$C$605,"Mediano")-SUMIFS(Ventas!$D$6:$D$605,Ventas!$B$6:$B$605,$A84,Ventas!$C$6:$C$605,"Mediano"),""))</f>
        <v/>
      </c>
      <c r="G84" s="69" t="str">
        <f aca="false">IF($A84="","",IF(LEFT($C84,6)="Anillo",SUMIFS(Compras!$D$6:$D$605,Compras!$B$6:$B$605,$A84,Compras!$C$6:$C$605,"Grande")-SUMIFS(Ventas!$D$6:$D$605,Ventas!$B$6:$B$605,$A84,Ventas!$C$6:$C$605,"Grande"),""))</f>
        <v/>
      </c>
      <c r="H84" s="69" t="n">
        <f aca="false">IF($A84="","",N($D84)+N($E84)+N($F84)+N($G84))</f>
        <v>1</v>
      </c>
      <c r="I84" s="70" t="str">
        <f aca="false">IF($A84="","",IF(N($H84)&lt;=0,"SIN STOCK",IF(LEFT($C84,6)="Anillo",IF(IF(AND(SUMIFS(Compras!$D$6:$D$605,Compras!$B$6:$B$605,$A84,Compras!$C$6:$C$605,"Chico")&gt;0,N($E84)&lt;=$B$5),"C ","")&amp;IF(AND(SUMIFS(Compras!$D$6:$D$605,Compras!$B$6:$B$605,$A84,Compras!$C$6:$C$605,"Mediano")&gt;0,N($F84)&lt;=$B$5),"M ","")&amp;IF(AND(SUMIFS(Compras!$D$6:$D$605,Compras!$B$6:$B$605,$A84,Compras!$C$6:$C$605,"Grande")&gt;0,N($G84)&lt;=$B$5),"G","")="","","Reponer "&amp;IF(AND(SUMIFS(Compras!$D$6:$D$605,Compras!$B$6:$B$605,$A84,Compras!$C$6:$C$605,"Chico")&gt;0,N($E84)&lt;=$B$5),"C ","")&amp;IF(AND(SUMIFS(Compras!$D$6:$D$605,Compras!$B$6:$B$605,$A84,Compras!$C$6:$C$605,"Mediano")&gt;0,N($F84)&lt;=$B$5),"M ","")&amp;IF(AND(SUMIFS(Compras!$D$6:$D$605,Compras!$B$6:$B$605,$A84,Compras!$C$6:$C$605,"Grande")&gt;0,N($G84)&lt;=$B$5),"G","")),IF(N($H84)&lt;=$B$5,"REPONER",""))))</f>
        <v>REPONER</v>
      </c>
      <c r="J84" s="69" t="n">
        <f aca="false">IF($A84="","",SUMIFS(Ventas!$D$6:$D$605,Ventas!$B$6:$B$605,$A84))</f>
        <v>0</v>
      </c>
      <c r="K84" s="45" t="n">
        <f aca="false">IF($A84="","",SUMIFS(Ventas!$F$6:$F$605,Ventas!$B$6:$B$605,$A84))</f>
        <v>0</v>
      </c>
    </row>
    <row r="85" customFormat="false" ht="15.75" hidden="false" customHeight="true" outlineLevel="0" collapsed="false">
      <c r="A85" s="68" t="str">
        <f aca="false">IF(Costos!$A99="","",Costos!$A99)</f>
        <v>Collar Bruna</v>
      </c>
      <c r="B85" s="68" t="str">
        <f aca="false">IF(Costos!$A99="","",Costos!$B99&amp;"")</f>
        <v>Boho Colection</v>
      </c>
      <c r="C85" s="68" t="str">
        <f aca="false">IF(Costos!$A99="","",Costos!$C99&amp;"")</f>
        <v>Collar</v>
      </c>
      <c r="D85" s="69" t="n">
        <f aca="false">IF($A85="","",SUMIFS(Compras!$D$6:$D$605,Compras!$B$6:$B$605,$A85,Compras!$C$6:$C$605,"Único")-SUMIFS(Ventas!$D$6:$D$605,Ventas!$B$6:$B$605,$A85,Ventas!$C$6:$C$605,"Único"))</f>
        <v>1</v>
      </c>
      <c r="E85" s="69" t="str">
        <f aca="false">IF($A85="","",IF(LEFT($C85,6)="Anillo",SUMIFS(Compras!$D$6:$D$605,Compras!$B$6:$B$605,$A85,Compras!$C$6:$C$605,"Chico")-SUMIFS(Ventas!$D$6:$D$605,Ventas!$B$6:$B$605,$A85,Ventas!$C$6:$C$605,"Chico"),""))</f>
        <v/>
      </c>
      <c r="F85" s="69" t="str">
        <f aca="false">IF($A85="","",IF(LEFT($C85,6)="Anillo",SUMIFS(Compras!$D$6:$D$605,Compras!$B$6:$B$605,$A85,Compras!$C$6:$C$605,"Mediano")-SUMIFS(Ventas!$D$6:$D$605,Ventas!$B$6:$B$605,$A85,Ventas!$C$6:$C$605,"Mediano"),""))</f>
        <v/>
      </c>
      <c r="G85" s="69" t="str">
        <f aca="false">IF($A85="","",IF(LEFT($C85,6)="Anillo",SUMIFS(Compras!$D$6:$D$605,Compras!$B$6:$B$605,$A85,Compras!$C$6:$C$605,"Grande")-SUMIFS(Ventas!$D$6:$D$605,Ventas!$B$6:$B$605,$A85,Ventas!$C$6:$C$605,"Grande"),""))</f>
        <v/>
      </c>
      <c r="H85" s="69" t="n">
        <f aca="false">IF($A85="","",N($D85)+N($E85)+N($F85)+N($G85))</f>
        <v>1</v>
      </c>
      <c r="I85" s="70" t="str">
        <f aca="false">IF($A85="","",IF(N($H85)&lt;=0,"SIN STOCK",IF(LEFT($C85,6)="Anillo",IF(IF(AND(SUMIFS(Compras!$D$6:$D$605,Compras!$B$6:$B$605,$A85,Compras!$C$6:$C$605,"Chico")&gt;0,N($E85)&lt;=$B$5),"C ","")&amp;IF(AND(SUMIFS(Compras!$D$6:$D$605,Compras!$B$6:$B$605,$A85,Compras!$C$6:$C$605,"Mediano")&gt;0,N($F85)&lt;=$B$5),"M ","")&amp;IF(AND(SUMIFS(Compras!$D$6:$D$605,Compras!$B$6:$B$605,$A85,Compras!$C$6:$C$605,"Grande")&gt;0,N($G85)&lt;=$B$5),"G","")="","","Reponer "&amp;IF(AND(SUMIFS(Compras!$D$6:$D$605,Compras!$B$6:$B$605,$A85,Compras!$C$6:$C$605,"Chico")&gt;0,N($E85)&lt;=$B$5),"C ","")&amp;IF(AND(SUMIFS(Compras!$D$6:$D$605,Compras!$B$6:$B$605,$A85,Compras!$C$6:$C$605,"Mediano")&gt;0,N($F85)&lt;=$B$5),"M ","")&amp;IF(AND(SUMIFS(Compras!$D$6:$D$605,Compras!$B$6:$B$605,$A85,Compras!$C$6:$C$605,"Grande")&gt;0,N($G85)&lt;=$B$5),"G","")),IF(N($H85)&lt;=$B$5,"REPONER",""))))</f>
        <v>REPONER</v>
      </c>
      <c r="J85" s="69" t="n">
        <f aca="false">IF($A85="","",SUMIFS(Ventas!$D$6:$D$605,Ventas!$B$6:$B$605,$A85))</f>
        <v>0</v>
      </c>
      <c r="K85" s="45" t="n">
        <f aca="false">IF($A85="","",SUMIFS(Ventas!$F$6:$F$605,Ventas!$B$6:$B$605,$A85))</f>
        <v>0</v>
      </c>
    </row>
    <row r="86" customFormat="false" ht="15.75" hidden="false" customHeight="true" outlineLevel="0" collapsed="false">
      <c r="A86" s="68" t="str">
        <f aca="false">IF(Costos!$A100="","",Costos!$A100)</f>
        <v>Collar Nova </v>
      </c>
      <c r="B86" s="68" t="str">
        <f aca="false">IF(Costos!$A100="","",Costos!$B100&amp;"")</f>
        <v>Boho Colection</v>
      </c>
      <c r="C86" s="68" t="str">
        <f aca="false">IF(Costos!$A100="","",Costos!$C100&amp;"")</f>
        <v>Collar</v>
      </c>
      <c r="D86" s="69" t="n">
        <f aca="false">IF($A86="","",SUMIFS(Compras!$D$6:$D$605,Compras!$B$6:$B$605,$A86,Compras!$C$6:$C$605,"Único")-SUMIFS(Ventas!$D$6:$D$605,Ventas!$B$6:$B$605,$A86,Ventas!$C$6:$C$605,"Único"))</f>
        <v>1</v>
      </c>
      <c r="E86" s="69" t="str">
        <f aca="false">IF($A86="","",IF(LEFT($C86,6)="Anillo",SUMIFS(Compras!$D$6:$D$605,Compras!$B$6:$B$605,$A86,Compras!$C$6:$C$605,"Chico")-SUMIFS(Ventas!$D$6:$D$605,Ventas!$B$6:$B$605,$A86,Ventas!$C$6:$C$605,"Chico"),""))</f>
        <v/>
      </c>
      <c r="F86" s="69" t="str">
        <f aca="false">IF($A86="","",IF(LEFT($C86,6)="Anillo",SUMIFS(Compras!$D$6:$D$605,Compras!$B$6:$B$605,$A86,Compras!$C$6:$C$605,"Mediano")-SUMIFS(Ventas!$D$6:$D$605,Ventas!$B$6:$B$605,$A86,Ventas!$C$6:$C$605,"Mediano"),""))</f>
        <v/>
      </c>
      <c r="G86" s="69" t="str">
        <f aca="false">IF($A86="","",IF(LEFT($C86,6)="Anillo",SUMIFS(Compras!$D$6:$D$605,Compras!$B$6:$B$605,$A86,Compras!$C$6:$C$605,"Grande")-SUMIFS(Ventas!$D$6:$D$605,Ventas!$B$6:$B$605,$A86,Ventas!$C$6:$C$605,"Grande"),""))</f>
        <v/>
      </c>
      <c r="H86" s="69" t="n">
        <f aca="false">IF($A86="","",N($D86)+N($E86)+N($F86)+N($G86))</f>
        <v>1</v>
      </c>
      <c r="I86" s="70" t="str">
        <f aca="false">IF($A86="","",IF(N($H86)&lt;=0,"SIN STOCK",IF(LEFT($C86,6)="Anillo",IF(IF(AND(SUMIFS(Compras!$D$6:$D$605,Compras!$B$6:$B$605,$A86,Compras!$C$6:$C$605,"Chico")&gt;0,N($E86)&lt;=$B$5),"C ","")&amp;IF(AND(SUMIFS(Compras!$D$6:$D$605,Compras!$B$6:$B$605,$A86,Compras!$C$6:$C$605,"Mediano")&gt;0,N($F86)&lt;=$B$5),"M ","")&amp;IF(AND(SUMIFS(Compras!$D$6:$D$605,Compras!$B$6:$B$605,$A86,Compras!$C$6:$C$605,"Grande")&gt;0,N($G86)&lt;=$B$5),"G","")="","","Reponer "&amp;IF(AND(SUMIFS(Compras!$D$6:$D$605,Compras!$B$6:$B$605,$A86,Compras!$C$6:$C$605,"Chico")&gt;0,N($E86)&lt;=$B$5),"C ","")&amp;IF(AND(SUMIFS(Compras!$D$6:$D$605,Compras!$B$6:$B$605,$A86,Compras!$C$6:$C$605,"Mediano")&gt;0,N($F86)&lt;=$B$5),"M ","")&amp;IF(AND(SUMIFS(Compras!$D$6:$D$605,Compras!$B$6:$B$605,$A86,Compras!$C$6:$C$605,"Grande")&gt;0,N($G86)&lt;=$B$5),"G","")),IF(N($H86)&lt;=$B$5,"REPONER",""))))</f>
        <v>REPONER</v>
      </c>
      <c r="J86" s="69" t="n">
        <f aca="false">IF($A86="","",SUMIFS(Ventas!$D$6:$D$605,Ventas!$B$6:$B$605,$A86))</f>
        <v>0</v>
      </c>
      <c r="K86" s="45" t="n">
        <f aca="false">IF($A86="","",SUMIFS(Ventas!$F$6:$F$605,Ventas!$B$6:$B$605,$A86))</f>
        <v>0</v>
      </c>
    </row>
    <row r="87" customFormat="false" ht="15.75" hidden="false" customHeight="true" outlineLevel="0" collapsed="false">
      <c r="A87" s="68" t="str">
        <f aca="false">IF(Costos!$A101="","",Costos!$A101)</f>
        <v>Collar Luna</v>
      </c>
      <c r="B87" s="68" t="str">
        <f aca="false">IF(Costos!$A101="","",Costos!$B101&amp;"")</f>
        <v>Boho Colection</v>
      </c>
      <c r="C87" s="68" t="str">
        <f aca="false">IF(Costos!$A101="","",Costos!$C101&amp;"")</f>
        <v>Collar</v>
      </c>
      <c r="D87" s="69" t="n">
        <f aca="false">IF($A87="","",SUMIFS(Compras!$D$6:$D$605,Compras!$B$6:$B$605,$A87,Compras!$C$6:$C$605,"Único")-SUMIFS(Ventas!$D$6:$D$605,Ventas!$B$6:$B$605,$A87,Ventas!$C$6:$C$605,"Único"))</f>
        <v>1</v>
      </c>
      <c r="E87" s="69" t="str">
        <f aca="false">IF($A87="","",IF(LEFT($C87,6)="Anillo",SUMIFS(Compras!$D$6:$D$605,Compras!$B$6:$B$605,$A87,Compras!$C$6:$C$605,"Chico")-SUMIFS(Ventas!$D$6:$D$605,Ventas!$B$6:$B$605,$A87,Ventas!$C$6:$C$605,"Chico"),""))</f>
        <v/>
      </c>
      <c r="F87" s="69" t="str">
        <f aca="false">IF($A87="","",IF(LEFT($C87,6)="Anillo",SUMIFS(Compras!$D$6:$D$605,Compras!$B$6:$B$605,$A87,Compras!$C$6:$C$605,"Mediano")-SUMIFS(Ventas!$D$6:$D$605,Ventas!$B$6:$B$605,$A87,Ventas!$C$6:$C$605,"Mediano"),""))</f>
        <v/>
      </c>
      <c r="G87" s="69" t="str">
        <f aca="false">IF($A87="","",IF(LEFT($C87,6)="Anillo",SUMIFS(Compras!$D$6:$D$605,Compras!$B$6:$B$605,$A87,Compras!$C$6:$C$605,"Grande")-SUMIFS(Ventas!$D$6:$D$605,Ventas!$B$6:$B$605,$A87,Ventas!$C$6:$C$605,"Grande"),""))</f>
        <v/>
      </c>
      <c r="H87" s="69" t="n">
        <f aca="false">IF($A87="","",N($D87)+N($E87)+N($F87)+N($G87))</f>
        <v>1</v>
      </c>
      <c r="I87" s="70" t="str">
        <f aca="false">IF($A87="","",IF(N($H87)&lt;=0,"SIN STOCK",IF(LEFT($C87,6)="Anillo",IF(IF(AND(SUMIFS(Compras!$D$6:$D$605,Compras!$B$6:$B$605,$A87,Compras!$C$6:$C$605,"Chico")&gt;0,N($E87)&lt;=$B$5),"C ","")&amp;IF(AND(SUMIFS(Compras!$D$6:$D$605,Compras!$B$6:$B$605,$A87,Compras!$C$6:$C$605,"Mediano")&gt;0,N($F87)&lt;=$B$5),"M ","")&amp;IF(AND(SUMIFS(Compras!$D$6:$D$605,Compras!$B$6:$B$605,$A87,Compras!$C$6:$C$605,"Grande")&gt;0,N($G87)&lt;=$B$5),"G","")="","","Reponer "&amp;IF(AND(SUMIFS(Compras!$D$6:$D$605,Compras!$B$6:$B$605,$A87,Compras!$C$6:$C$605,"Chico")&gt;0,N($E87)&lt;=$B$5),"C ","")&amp;IF(AND(SUMIFS(Compras!$D$6:$D$605,Compras!$B$6:$B$605,$A87,Compras!$C$6:$C$605,"Mediano")&gt;0,N($F87)&lt;=$B$5),"M ","")&amp;IF(AND(SUMIFS(Compras!$D$6:$D$605,Compras!$B$6:$B$605,$A87,Compras!$C$6:$C$605,"Grande")&gt;0,N($G87)&lt;=$B$5),"G","")),IF(N($H87)&lt;=$B$5,"REPONER",""))))</f>
        <v>REPONER</v>
      </c>
      <c r="J87" s="69" t="n">
        <f aca="false">IF($A87="","",SUMIFS(Ventas!$D$6:$D$605,Ventas!$B$6:$B$605,$A87))</f>
        <v>0</v>
      </c>
      <c r="K87" s="45" t="n">
        <f aca="false">IF($A87="","",SUMIFS(Ventas!$F$6:$F$605,Ventas!$B$6:$B$605,$A87))</f>
        <v>0</v>
      </c>
    </row>
    <row r="88" customFormat="false" ht="15.75" hidden="false" customHeight="true" outlineLevel="0" collapsed="false">
      <c r="A88" s="68" t="str">
        <f aca="false">IF(Costos!$A102="","",Costos!$A102)</f>
        <v>Collar Ambar</v>
      </c>
      <c r="B88" s="68" t="str">
        <f aca="false">IF(Costos!$A102="","",Costos!$B102&amp;"")</f>
        <v>Boho Colection</v>
      </c>
      <c r="C88" s="68" t="str">
        <f aca="false">IF(Costos!$A102="","",Costos!$C102&amp;"")</f>
        <v>Collar</v>
      </c>
      <c r="D88" s="69" t="n">
        <f aca="false">IF($A88="","",SUMIFS(Compras!$D$6:$D$605,Compras!$B$6:$B$605,$A88,Compras!$C$6:$C$605,"Único")-SUMIFS(Ventas!$D$6:$D$605,Ventas!$B$6:$B$605,$A88,Ventas!$C$6:$C$605,"Único"))</f>
        <v>1</v>
      </c>
      <c r="E88" s="69" t="str">
        <f aca="false">IF($A88="","",IF(LEFT($C88,6)="Anillo",SUMIFS(Compras!$D$6:$D$605,Compras!$B$6:$B$605,$A88,Compras!$C$6:$C$605,"Chico")-SUMIFS(Ventas!$D$6:$D$605,Ventas!$B$6:$B$605,$A88,Ventas!$C$6:$C$605,"Chico"),""))</f>
        <v/>
      </c>
      <c r="F88" s="69" t="str">
        <f aca="false">IF($A88="","",IF(LEFT($C88,6)="Anillo",SUMIFS(Compras!$D$6:$D$605,Compras!$B$6:$B$605,$A88,Compras!$C$6:$C$605,"Mediano")-SUMIFS(Ventas!$D$6:$D$605,Ventas!$B$6:$B$605,$A88,Ventas!$C$6:$C$605,"Mediano"),""))</f>
        <v/>
      </c>
      <c r="G88" s="69" t="str">
        <f aca="false">IF($A88="","",IF(LEFT($C88,6)="Anillo",SUMIFS(Compras!$D$6:$D$605,Compras!$B$6:$B$605,$A88,Compras!$C$6:$C$605,"Grande")-SUMIFS(Ventas!$D$6:$D$605,Ventas!$B$6:$B$605,$A88,Ventas!$C$6:$C$605,"Grande"),""))</f>
        <v/>
      </c>
      <c r="H88" s="69" t="n">
        <f aca="false">IF($A88="","",N($D88)+N($E88)+N($F88)+N($G88))</f>
        <v>1</v>
      </c>
      <c r="I88" s="70" t="str">
        <f aca="false">IF($A88="","",IF(N($H88)&lt;=0,"SIN STOCK",IF(LEFT($C88,6)="Anillo",IF(IF(AND(SUMIFS(Compras!$D$6:$D$605,Compras!$B$6:$B$605,$A88,Compras!$C$6:$C$605,"Chico")&gt;0,N($E88)&lt;=$B$5),"C ","")&amp;IF(AND(SUMIFS(Compras!$D$6:$D$605,Compras!$B$6:$B$605,$A88,Compras!$C$6:$C$605,"Mediano")&gt;0,N($F88)&lt;=$B$5),"M ","")&amp;IF(AND(SUMIFS(Compras!$D$6:$D$605,Compras!$B$6:$B$605,$A88,Compras!$C$6:$C$605,"Grande")&gt;0,N($G88)&lt;=$B$5),"G","")="","","Reponer "&amp;IF(AND(SUMIFS(Compras!$D$6:$D$605,Compras!$B$6:$B$605,$A88,Compras!$C$6:$C$605,"Chico")&gt;0,N($E88)&lt;=$B$5),"C ","")&amp;IF(AND(SUMIFS(Compras!$D$6:$D$605,Compras!$B$6:$B$605,$A88,Compras!$C$6:$C$605,"Mediano")&gt;0,N($F88)&lt;=$B$5),"M ","")&amp;IF(AND(SUMIFS(Compras!$D$6:$D$605,Compras!$B$6:$B$605,$A88,Compras!$C$6:$C$605,"Grande")&gt;0,N($G88)&lt;=$B$5),"G","")),IF(N($H88)&lt;=$B$5,"REPONER",""))))</f>
        <v>REPONER</v>
      </c>
      <c r="J88" s="69" t="n">
        <f aca="false">IF($A88="","",SUMIFS(Ventas!$D$6:$D$605,Ventas!$B$6:$B$605,$A88))</f>
        <v>0</v>
      </c>
      <c r="K88" s="45" t="n">
        <f aca="false">IF($A88="","",SUMIFS(Ventas!$F$6:$F$605,Ventas!$B$6:$B$605,$A88))</f>
        <v>0</v>
      </c>
    </row>
    <row r="89" customFormat="false" ht="15.75" hidden="false" customHeight="true" outlineLevel="0" collapsed="false">
      <c r="A89" s="68" t="str">
        <f aca="false">IF(Costos!$A103="","",Costos!$A103)</f>
        <v>Pulsera Bruna </v>
      </c>
      <c r="B89" s="68" t="str">
        <f aca="false">IF(Costos!$A103="","",Costos!$B103&amp;"")</f>
        <v>Boho Colection</v>
      </c>
      <c r="C89" s="68" t="str">
        <f aca="false">IF(Costos!$A103="","",Costos!$C103&amp;"")</f>
        <v>Pulsera</v>
      </c>
      <c r="D89" s="69" t="n">
        <f aca="false">IF($A89="","",SUMIFS(Compras!$D$6:$D$605,Compras!$B$6:$B$605,$A89,Compras!$C$6:$C$605,"Único")-SUMIFS(Ventas!$D$6:$D$605,Ventas!$B$6:$B$605,$A89,Ventas!$C$6:$C$605,"Único"))</f>
        <v>4</v>
      </c>
      <c r="E89" s="69" t="str">
        <f aca="false">IF($A89="","",IF(LEFT($C89,6)="Anillo",SUMIFS(Compras!$D$6:$D$605,Compras!$B$6:$B$605,$A89,Compras!$C$6:$C$605,"Chico")-SUMIFS(Ventas!$D$6:$D$605,Ventas!$B$6:$B$605,$A89,Ventas!$C$6:$C$605,"Chico"),""))</f>
        <v/>
      </c>
      <c r="F89" s="69" t="str">
        <f aca="false">IF($A89="","",IF(LEFT($C89,6)="Anillo",SUMIFS(Compras!$D$6:$D$605,Compras!$B$6:$B$605,$A89,Compras!$C$6:$C$605,"Mediano")-SUMIFS(Ventas!$D$6:$D$605,Ventas!$B$6:$B$605,$A89,Ventas!$C$6:$C$605,"Mediano"),""))</f>
        <v/>
      </c>
      <c r="G89" s="69" t="str">
        <f aca="false">IF($A89="","",IF(LEFT($C89,6)="Anillo",SUMIFS(Compras!$D$6:$D$605,Compras!$B$6:$B$605,$A89,Compras!$C$6:$C$605,"Grande")-SUMIFS(Ventas!$D$6:$D$605,Ventas!$B$6:$B$605,$A89,Ventas!$C$6:$C$605,"Grande"),""))</f>
        <v/>
      </c>
      <c r="H89" s="69" t="n">
        <f aca="false">IF($A89="","",N($D89)+N($E89)+N($F89)+N($G89))</f>
        <v>4</v>
      </c>
      <c r="I89" s="70" t="str">
        <f aca="false">IF($A89="","",IF(N($H89)&lt;=0,"SIN STOCK",IF(LEFT($C89,6)="Anillo",IF(IF(AND(SUMIFS(Compras!$D$6:$D$605,Compras!$B$6:$B$605,$A89,Compras!$C$6:$C$605,"Chico")&gt;0,N($E89)&lt;=$B$5),"C ","")&amp;IF(AND(SUMIFS(Compras!$D$6:$D$605,Compras!$B$6:$B$605,$A89,Compras!$C$6:$C$605,"Mediano")&gt;0,N($F89)&lt;=$B$5),"M ","")&amp;IF(AND(SUMIFS(Compras!$D$6:$D$605,Compras!$B$6:$B$605,$A89,Compras!$C$6:$C$605,"Grande")&gt;0,N($G89)&lt;=$B$5),"G","")="","","Reponer "&amp;IF(AND(SUMIFS(Compras!$D$6:$D$605,Compras!$B$6:$B$605,$A89,Compras!$C$6:$C$605,"Chico")&gt;0,N($E89)&lt;=$B$5),"C ","")&amp;IF(AND(SUMIFS(Compras!$D$6:$D$605,Compras!$B$6:$B$605,$A89,Compras!$C$6:$C$605,"Mediano")&gt;0,N($F89)&lt;=$B$5),"M ","")&amp;IF(AND(SUMIFS(Compras!$D$6:$D$605,Compras!$B$6:$B$605,$A89,Compras!$C$6:$C$605,"Grande")&gt;0,N($G89)&lt;=$B$5),"G","")),IF(N($H89)&lt;=$B$5,"REPONER",""))))</f>
        <v/>
      </c>
      <c r="J89" s="69" t="n">
        <f aca="false">IF($A89="","",SUMIFS(Ventas!$D$6:$D$605,Ventas!$B$6:$B$605,$A89))</f>
        <v>0</v>
      </c>
      <c r="K89" s="45" t="n">
        <f aca="false">IF($A89="","",SUMIFS(Ventas!$F$6:$F$605,Ventas!$B$6:$B$605,$A89))</f>
        <v>0</v>
      </c>
    </row>
    <row r="90" customFormat="false" ht="15.75" hidden="false" customHeight="true" outlineLevel="0" collapsed="false">
      <c r="A90" s="68" t="str">
        <f aca="false">IF(Costos!$A104="","",Costos!$A104)</f>
        <v>Collar Nina</v>
      </c>
      <c r="B90" s="68" t="str">
        <f aca="false">IF(Costos!$A104="","",Costos!$B104&amp;"")</f>
        <v>Boho Colection</v>
      </c>
      <c r="C90" s="68" t="str">
        <f aca="false">IF(Costos!$A104="","",Costos!$C104&amp;"")</f>
        <v>Collar</v>
      </c>
      <c r="D90" s="69" t="n">
        <f aca="false">IF($A90="","",SUMIFS(Compras!$D$6:$D$605,Compras!$B$6:$B$605,$A90,Compras!$C$6:$C$605,"Único")-SUMIFS(Ventas!$D$6:$D$605,Ventas!$B$6:$B$605,$A90,Ventas!$C$6:$C$605,"Único"))</f>
        <v>1</v>
      </c>
      <c r="E90" s="69" t="str">
        <f aca="false">IF($A90="","",IF(LEFT($C90,6)="Anillo",SUMIFS(Compras!$D$6:$D$605,Compras!$B$6:$B$605,$A90,Compras!$C$6:$C$605,"Chico")-SUMIFS(Ventas!$D$6:$D$605,Ventas!$B$6:$B$605,$A90,Ventas!$C$6:$C$605,"Chico"),""))</f>
        <v/>
      </c>
      <c r="F90" s="69" t="str">
        <f aca="false">IF($A90="","",IF(LEFT($C90,6)="Anillo",SUMIFS(Compras!$D$6:$D$605,Compras!$B$6:$B$605,$A90,Compras!$C$6:$C$605,"Mediano")-SUMIFS(Ventas!$D$6:$D$605,Ventas!$B$6:$B$605,$A90,Ventas!$C$6:$C$605,"Mediano"),""))</f>
        <v/>
      </c>
      <c r="G90" s="69" t="str">
        <f aca="false">IF($A90="","",IF(LEFT($C90,6)="Anillo",SUMIFS(Compras!$D$6:$D$605,Compras!$B$6:$B$605,$A90,Compras!$C$6:$C$605,"Grande")-SUMIFS(Ventas!$D$6:$D$605,Ventas!$B$6:$B$605,$A90,Ventas!$C$6:$C$605,"Grande"),""))</f>
        <v/>
      </c>
      <c r="H90" s="69" t="n">
        <f aca="false">IF($A90="","",N($D90)+N($E90)+N($F90)+N($G90))</f>
        <v>1</v>
      </c>
      <c r="I90" s="70" t="str">
        <f aca="false">IF($A90="","",IF(N($H90)&lt;=0,"SIN STOCK",IF(LEFT($C90,6)="Anillo",IF(IF(AND(SUMIFS(Compras!$D$6:$D$605,Compras!$B$6:$B$605,$A90,Compras!$C$6:$C$605,"Chico")&gt;0,N($E90)&lt;=$B$5),"C ","")&amp;IF(AND(SUMIFS(Compras!$D$6:$D$605,Compras!$B$6:$B$605,$A90,Compras!$C$6:$C$605,"Mediano")&gt;0,N($F90)&lt;=$B$5),"M ","")&amp;IF(AND(SUMIFS(Compras!$D$6:$D$605,Compras!$B$6:$B$605,$A90,Compras!$C$6:$C$605,"Grande")&gt;0,N($G90)&lt;=$B$5),"G","")="","","Reponer "&amp;IF(AND(SUMIFS(Compras!$D$6:$D$605,Compras!$B$6:$B$605,$A90,Compras!$C$6:$C$605,"Chico")&gt;0,N($E90)&lt;=$B$5),"C ","")&amp;IF(AND(SUMIFS(Compras!$D$6:$D$605,Compras!$B$6:$B$605,$A90,Compras!$C$6:$C$605,"Mediano")&gt;0,N($F90)&lt;=$B$5),"M ","")&amp;IF(AND(SUMIFS(Compras!$D$6:$D$605,Compras!$B$6:$B$605,$A90,Compras!$C$6:$C$605,"Grande")&gt;0,N($G90)&lt;=$B$5),"G","")),IF(N($H90)&lt;=$B$5,"REPONER",""))))</f>
        <v>REPONER</v>
      </c>
      <c r="J90" s="69" t="n">
        <f aca="false">IF($A90="","",SUMIFS(Ventas!$D$6:$D$605,Ventas!$B$6:$B$605,$A90))</f>
        <v>0</v>
      </c>
      <c r="K90" s="45" t="n">
        <f aca="false">IF($A90="","",SUMIFS(Ventas!$F$6:$F$605,Ventas!$B$6:$B$605,$A90))</f>
        <v>0</v>
      </c>
    </row>
    <row r="91" customFormat="false" ht="15.75" hidden="false" customHeight="true" outlineLevel="0" collapsed="false">
      <c r="A91" s="68" t="str">
        <f aca="false">IF(Costos!$A105="","",Costos!$A105)</f>
        <v>Collar Duna </v>
      </c>
      <c r="B91" s="68" t="str">
        <f aca="false">IF(Costos!$A105="","",Costos!$B105&amp;"")</f>
        <v>Boho Colection</v>
      </c>
      <c r="C91" s="68" t="str">
        <f aca="false">IF(Costos!$A105="","",Costos!$C105&amp;"")</f>
        <v>Collar</v>
      </c>
      <c r="D91" s="69" t="n">
        <f aca="false">IF($A91="","",SUMIFS(Compras!$D$6:$D$605,Compras!$B$6:$B$605,$A91,Compras!$C$6:$C$605,"Único")-SUMIFS(Ventas!$D$6:$D$605,Ventas!$B$6:$B$605,$A91,Ventas!$C$6:$C$605,"Único"))</f>
        <v>1</v>
      </c>
      <c r="E91" s="69" t="str">
        <f aca="false">IF($A91="","",IF(LEFT($C91,6)="Anillo",SUMIFS(Compras!$D$6:$D$605,Compras!$B$6:$B$605,$A91,Compras!$C$6:$C$605,"Chico")-SUMIFS(Ventas!$D$6:$D$605,Ventas!$B$6:$B$605,$A91,Ventas!$C$6:$C$605,"Chico"),""))</f>
        <v/>
      </c>
      <c r="F91" s="69" t="str">
        <f aca="false">IF($A91="","",IF(LEFT($C91,6)="Anillo",SUMIFS(Compras!$D$6:$D$605,Compras!$B$6:$B$605,$A91,Compras!$C$6:$C$605,"Mediano")-SUMIFS(Ventas!$D$6:$D$605,Ventas!$B$6:$B$605,$A91,Ventas!$C$6:$C$605,"Mediano"),""))</f>
        <v/>
      </c>
      <c r="G91" s="69" t="str">
        <f aca="false">IF($A91="","",IF(LEFT($C91,6)="Anillo",SUMIFS(Compras!$D$6:$D$605,Compras!$B$6:$B$605,$A91,Compras!$C$6:$C$605,"Grande")-SUMIFS(Ventas!$D$6:$D$605,Ventas!$B$6:$B$605,$A91,Ventas!$C$6:$C$605,"Grande"),""))</f>
        <v/>
      </c>
      <c r="H91" s="69" t="n">
        <f aca="false">IF($A91="","",N($D91)+N($E91)+N($F91)+N($G91))</f>
        <v>1</v>
      </c>
      <c r="I91" s="70" t="str">
        <f aca="false">IF($A91="","",IF(N($H91)&lt;=0,"SIN STOCK",IF(LEFT($C91,6)="Anillo",IF(IF(AND(SUMIFS(Compras!$D$6:$D$605,Compras!$B$6:$B$605,$A91,Compras!$C$6:$C$605,"Chico")&gt;0,N($E91)&lt;=$B$5),"C ","")&amp;IF(AND(SUMIFS(Compras!$D$6:$D$605,Compras!$B$6:$B$605,$A91,Compras!$C$6:$C$605,"Mediano")&gt;0,N($F91)&lt;=$B$5),"M ","")&amp;IF(AND(SUMIFS(Compras!$D$6:$D$605,Compras!$B$6:$B$605,$A91,Compras!$C$6:$C$605,"Grande")&gt;0,N($G91)&lt;=$B$5),"G","")="","","Reponer "&amp;IF(AND(SUMIFS(Compras!$D$6:$D$605,Compras!$B$6:$B$605,$A91,Compras!$C$6:$C$605,"Chico")&gt;0,N($E91)&lt;=$B$5),"C ","")&amp;IF(AND(SUMIFS(Compras!$D$6:$D$605,Compras!$B$6:$B$605,$A91,Compras!$C$6:$C$605,"Mediano")&gt;0,N($F91)&lt;=$B$5),"M ","")&amp;IF(AND(SUMIFS(Compras!$D$6:$D$605,Compras!$B$6:$B$605,$A91,Compras!$C$6:$C$605,"Grande")&gt;0,N($G91)&lt;=$B$5),"G","")),IF(N($H91)&lt;=$B$5,"REPONER",""))))</f>
        <v>REPONER</v>
      </c>
      <c r="J91" s="69" t="n">
        <f aca="false">IF($A91="","",SUMIFS(Ventas!$D$6:$D$605,Ventas!$B$6:$B$605,$A91))</f>
        <v>0</v>
      </c>
      <c r="K91" s="45" t="n">
        <f aca="false">IF($A91="","",SUMIFS(Ventas!$F$6:$F$605,Ventas!$B$6:$B$605,$A91))</f>
        <v>0</v>
      </c>
    </row>
    <row r="92" customFormat="false" ht="15.75" hidden="false" customHeight="true" outlineLevel="0" collapsed="false">
      <c r="A92" s="68" t="str">
        <f aca="false">IF(Costos!$A106="","",Costos!$A106)</f>
        <v>Collar Pampa</v>
      </c>
      <c r="B92" s="68" t="str">
        <f aca="false">IF(Costos!$A106="","",Costos!$B106&amp;"")</f>
        <v>Boho Colection</v>
      </c>
      <c r="C92" s="68" t="str">
        <f aca="false">IF(Costos!$A106="","",Costos!$C106&amp;"")</f>
        <v>Collar</v>
      </c>
      <c r="D92" s="69" t="n">
        <f aca="false">IF($A92="","",SUMIFS(Compras!$D$6:$D$605,Compras!$B$6:$B$605,$A92,Compras!$C$6:$C$605,"Único")-SUMIFS(Ventas!$D$6:$D$605,Ventas!$B$6:$B$605,$A92,Ventas!$C$6:$C$605,"Único"))</f>
        <v>1</v>
      </c>
      <c r="E92" s="69" t="str">
        <f aca="false">IF($A92="","",IF(LEFT($C92,6)="Anillo",SUMIFS(Compras!$D$6:$D$605,Compras!$B$6:$B$605,$A92,Compras!$C$6:$C$605,"Chico")-SUMIFS(Ventas!$D$6:$D$605,Ventas!$B$6:$B$605,$A92,Ventas!$C$6:$C$605,"Chico"),""))</f>
        <v/>
      </c>
      <c r="F92" s="69" t="str">
        <f aca="false">IF($A92="","",IF(LEFT($C92,6)="Anillo",SUMIFS(Compras!$D$6:$D$605,Compras!$B$6:$B$605,$A92,Compras!$C$6:$C$605,"Mediano")-SUMIFS(Ventas!$D$6:$D$605,Ventas!$B$6:$B$605,$A92,Ventas!$C$6:$C$605,"Mediano"),""))</f>
        <v/>
      </c>
      <c r="G92" s="69" t="str">
        <f aca="false">IF($A92="","",IF(LEFT($C92,6)="Anillo",SUMIFS(Compras!$D$6:$D$605,Compras!$B$6:$B$605,$A92,Compras!$C$6:$C$605,"Grande")-SUMIFS(Ventas!$D$6:$D$605,Ventas!$B$6:$B$605,$A92,Ventas!$C$6:$C$605,"Grande"),""))</f>
        <v/>
      </c>
      <c r="H92" s="69" t="n">
        <f aca="false">IF($A92="","",N($D92)+N($E92)+N($F92)+N($G92))</f>
        <v>1</v>
      </c>
      <c r="I92" s="70" t="str">
        <f aca="false">IF($A92="","",IF(N($H92)&lt;=0,"SIN STOCK",IF(LEFT($C92,6)="Anillo",IF(IF(AND(SUMIFS(Compras!$D$6:$D$605,Compras!$B$6:$B$605,$A92,Compras!$C$6:$C$605,"Chico")&gt;0,N($E92)&lt;=$B$5),"C ","")&amp;IF(AND(SUMIFS(Compras!$D$6:$D$605,Compras!$B$6:$B$605,$A92,Compras!$C$6:$C$605,"Mediano")&gt;0,N($F92)&lt;=$B$5),"M ","")&amp;IF(AND(SUMIFS(Compras!$D$6:$D$605,Compras!$B$6:$B$605,$A92,Compras!$C$6:$C$605,"Grande")&gt;0,N($G92)&lt;=$B$5),"G","")="","","Reponer "&amp;IF(AND(SUMIFS(Compras!$D$6:$D$605,Compras!$B$6:$B$605,$A92,Compras!$C$6:$C$605,"Chico")&gt;0,N($E92)&lt;=$B$5),"C ","")&amp;IF(AND(SUMIFS(Compras!$D$6:$D$605,Compras!$B$6:$B$605,$A92,Compras!$C$6:$C$605,"Mediano")&gt;0,N($F92)&lt;=$B$5),"M ","")&amp;IF(AND(SUMIFS(Compras!$D$6:$D$605,Compras!$B$6:$B$605,$A92,Compras!$C$6:$C$605,"Grande")&gt;0,N($G92)&lt;=$B$5),"G","")),IF(N($H92)&lt;=$B$5,"REPONER",""))))</f>
        <v>REPONER</v>
      </c>
      <c r="J92" s="69" t="n">
        <f aca="false">IF($A92="","",SUMIFS(Ventas!$D$6:$D$605,Ventas!$B$6:$B$605,$A92))</f>
        <v>0</v>
      </c>
      <c r="K92" s="45" t="n">
        <f aca="false">IF($A92="","",SUMIFS(Ventas!$F$6:$F$605,Ventas!$B$6:$B$605,$A92))</f>
        <v>0</v>
      </c>
    </row>
    <row r="93" customFormat="false" ht="15.75" hidden="false" customHeight="true" outlineLevel="0" collapsed="false">
      <c r="A93" s="68" t="str">
        <f aca="false">IF(Costos!$A107="","",Costos!$A107)</f>
        <v>Collar Kaya</v>
      </c>
      <c r="B93" s="68" t="str">
        <f aca="false">IF(Costos!$A107="","",Costos!$B107&amp;"")</f>
        <v>Boho Colection</v>
      </c>
      <c r="C93" s="68" t="str">
        <f aca="false">IF(Costos!$A107="","",Costos!$C107&amp;"")</f>
        <v>Collar</v>
      </c>
      <c r="D93" s="69" t="n">
        <f aca="false">IF($A93="","",SUMIFS(Compras!$D$6:$D$605,Compras!$B$6:$B$605,$A93,Compras!$C$6:$C$605,"Único")-SUMIFS(Ventas!$D$6:$D$605,Ventas!$B$6:$B$605,$A93,Ventas!$C$6:$C$605,"Único"))</f>
        <v>1</v>
      </c>
      <c r="E93" s="69" t="str">
        <f aca="false">IF($A93="","",IF(LEFT($C93,6)="Anillo",SUMIFS(Compras!$D$6:$D$605,Compras!$B$6:$B$605,$A93,Compras!$C$6:$C$605,"Chico")-SUMIFS(Ventas!$D$6:$D$605,Ventas!$B$6:$B$605,$A93,Ventas!$C$6:$C$605,"Chico"),""))</f>
        <v/>
      </c>
      <c r="F93" s="69" t="str">
        <f aca="false">IF($A93="","",IF(LEFT($C93,6)="Anillo",SUMIFS(Compras!$D$6:$D$605,Compras!$B$6:$B$605,$A93,Compras!$C$6:$C$605,"Mediano")-SUMIFS(Ventas!$D$6:$D$605,Ventas!$B$6:$B$605,$A93,Ventas!$C$6:$C$605,"Mediano"),""))</f>
        <v/>
      </c>
      <c r="G93" s="69" t="str">
        <f aca="false">IF($A93="","",IF(LEFT($C93,6)="Anillo",SUMIFS(Compras!$D$6:$D$605,Compras!$B$6:$B$605,$A93,Compras!$C$6:$C$605,"Grande")-SUMIFS(Ventas!$D$6:$D$605,Ventas!$B$6:$B$605,$A93,Ventas!$C$6:$C$605,"Grande"),""))</f>
        <v/>
      </c>
      <c r="H93" s="69" t="n">
        <f aca="false">IF($A93="","",N($D93)+N($E93)+N($F93)+N($G93))</f>
        <v>1</v>
      </c>
      <c r="I93" s="70" t="str">
        <f aca="false">IF($A93="","",IF(N($H93)&lt;=0,"SIN STOCK",IF(LEFT($C93,6)="Anillo",IF(IF(AND(SUMIFS(Compras!$D$6:$D$605,Compras!$B$6:$B$605,$A93,Compras!$C$6:$C$605,"Chico")&gt;0,N($E93)&lt;=$B$5),"C ","")&amp;IF(AND(SUMIFS(Compras!$D$6:$D$605,Compras!$B$6:$B$605,$A93,Compras!$C$6:$C$605,"Mediano")&gt;0,N($F93)&lt;=$B$5),"M ","")&amp;IF(AND(SUMIFS(Compras!$D$6:$D$605,Compras!$B$6:$B$605,$A93,Compras!$C$6:$C$605,"Grande")&gt;0,N($G93)&lt;=$B$5),"G","")="","","Reponer "&amp;IF(AND(SUMIFS(Compras!$D$6:$D$605,Compras!$B$6:$B$605,$A93,Compras!$C$6:$C$605,"Chico")&gt;0,N($E93)&lt;=$B$5),"C ","")&amp;IF(AND(SUMIFS(Compras!$D$6:$D$605,Compras!$B$6:$B$605,$A93,Compras!$C$6:$C$605,"Mediano")&gt;0,N($F93)&lt;=$B$5),"M ","")&amp;IF(AND(SUMIFS(Compras!$D$6:$D$605,Compras!$B$6:$B$605,$A93,Compras!$C$6:$C$605,"Grande")&gt;0,N($G93)&lt;=$B$5),"G","")),IF(N($H93)&lt;=$B$5,"REPONER",""))))</f>
        <v>REPONER</v>
      </c>
      <c r="J93" s="69" t="n">
        <f aca="false">IF($A93="","",SUMIFS(Ventas!$D$6:$D$605,Ventas!$B$6:$B$605,$A93))</f>
        <v>0</v>
      </c>
      <c r="K93" s="45" t="n">
        <f aca="false">IF($A93="","",SUMIFS(Ventas!$F$6:$F$605,Ventas!$B$6:$B$605,$A93))</f>
        <v>0</v>
      </c>
    </row>
    <row r="94" customFormat="false" ht="15.75" hidden="false" customHeight="true" outlineLevel="0" collapsed="false">
      <c r="A94" s="68" t="str">
        <f aca="false">IF(Costos!$A108="","",Costos!$A108)</f>
        <v>Collar Isla</v>
      </c>
      <c r="B94" s="68" t="str">
        <f aca="false">IF(Costos!$A108="","",Costos!$B108&amp;"")</f>
        <v>Boho Colection</v>
      </c>
      <c r="C94" s="68" t="str">
        <f aca="false">IF(Costos!$A108="","",Costos!$C108&amp;"")</f>
        <v>Collar</v>
      </c>
      <c r="D94" s="69" t="n">
        <f aca="false">IF($A94="","",SUMIFS(Compras!$D$6:$D$605,Compras!$B$6:$B$605,$A94,Compras!$C$6:$C$605,"Único")-SUMIFS(Ventas!$D$6:$D$605,Ventas!$B$6:$B$605,$A94,Ventas!$C$6:$C$605,"Único"))</f>
        <v>1</v>
      </c>
      <c r="E94" s="69" t="str">
        <f aca="false">IF($A94="","",IF(LEFT($C94,6)="Anillo",SUMIFS(Compras!$D$6:$D$605,Compras!$B$6:$B$605,$A94,Compras!$C$6:$C$605,"Chico")-SUMIFS(Ventas!$D$6:$D$605,Ventas!$B$6:$B$605,$A94,Ventas!$C$6:$C$605,"Chico"),""))</f>
        <v/>
      </c>
      <c r="F94" s="69" t="str">
        <f aca="false">IF($A94="","",IF(LEFT($C94,6)="Anillo",SUMIFS(Compras!$D$6:$D$605,Compras!$B$6:$B$605,$A94,Compras!$C$6:$C$605,"Mediano")-SUMIFS(Ventas!$D$6:$D$605,Ventas!$B$6:$B$605,$A94,Ventas!$C$6:$C$605,"Mediano"),""))</f>
        <v/>
      </c>
      <c r="G94" s="69" t="str">
        <f aca="false">IF($A94="","",IF(LEFT($C94,6)="Anillo",SUMIFS(Compras!$D$6:$D$605,Compras!$B$6:$B$605,$A94,Compras!$C$6:$C$605,"Grande")-SUMIFS(Ventas!$D$6:$D$605,Ventas!$B$6:$B$605,$A94,Ventas!$C$6:$C$605,"Grande"),""))</f>
        <v/>
      </c>
      <c r="H94" s="69" t="n">
        <f aca="false">IF($A94="","",N($D94)+N($E94)+N($F94)+N($G94))</f>
        <v>1</v>
      </c>
      <c r="I94" s="70" t="str">
        <f aca="false">IF($A94="","",IF(N($H94)&lt;=0,"SIN STOCK",IF(LEFT($C94,6)="Anillo",IF(IF(AND(SUMIFS(Compras!$D$6:$D$605,Compras!$B$6:$B$605,$A94,Compras!$C$6:$C$605,"Chico")&gt;0,N($E94)&lt;=$B$5),"C ","")&amp;IF(AND(SUMIFS(Compras!$D$6:$D$605,Compras!$B$6:$B$605,$A94,Compras!$C$6:$C$605,"Mediano")&gt;0,N($F94)&lt;=$B$5),"M ","")&amp;IF(AND(SUMIFS(Compras!$D$6:$D$605,Compras!$B$6:$B$605,$A94,Compras!$C$6:$C$605,"Grande")&gt;0,N($G94)&lt;=$B$5),"G","")="","","Reponer "&amp;IF(AND(SUMIFS(Compras!$D$6:$D$605,Compras!$B$6:$B$605,$A94,Compras!$C$6:$C$605,"Chico")&gt;0,N($E94)&lt;=$B$5),"C ","")&amp;IF(AND(SUMIFS(Compras!$D$6:$D$605,Compras!$B$6:$B$605,$A94,Compras!$C$6:$C$605,"Mediano")&gt;0,N($F94)&lt;=$B$5),"M ","")&amp;IF(AND(SUMIFS(Compras!$D$6:$D$605,Compras!$B$6:$B$605,$A94,Compras!$C$6:$C$605,"Grande")&gt;0,N($G94)&lt;=$B$5),"G","")),IF(N($H94)&lt;=$B$5,"REPONER",""))))</f>
        <v>REPONER</v>
      </c>
      <c r="J94" s="69" t="n">
        <f aca="false">IF($A94="","",SUMIFS(Ventas!$D$6:$D$605,Ventas!$B$6:$B$605,$A94))</f>
        <v>0</v>
      </c>
      <c r="K94" s="45" t="n">
        <f aca="false">IF($A94="","",SUMIFS(Ventas!$F$6:$F$605,Ventas!$B$6:$B$605,$A94))</f>
        <v>0</v>
      </c>
    </row>
    <row r="95" customFormat="false" ht="15.75" hidden="false" customHeight="true" outlineLevel="0" collapsed="false">
      <c r="A95" s="68" t="str">
        <f aca="false">IF(Costos!$A109="","",Costos!$A109)</f>
        <v>Collar Vega</v>
      </c>
      <c r="B95" s="68" t="str">
        <f aca="false">IF(Costos!$A109="","",Costos!$B109&amp;"")</f>
        <v>Boho Colection</v>
      </c>
      <c r="C95" s="68" t="str">
        <f aca="false">IF(Costos!$A109="","",Costos!$C109&amp;"")</f>
        <v>Collar</v>
      </c>
      <c r="D95" s="69" t="n">
        <f aca="false">IF($A95="","",SUMIFS(Compras!$D$6:$D$605,Compras!$B$6:$B$605,$A95,Compras!$C$6:$C$605,"Único")-SUMIFS(Ventas!$D$6:$D$605,Ventas!$B$6:$B$605,$A95,Ventas!$C$6:$C$605,"Único"))</f>
        <v>1</v>
      </c>
      <c r="E95" s="69" t="str">
        <f aca="false">IF($A95="","",IF(LEFT($C95,6)="Anillo",SUMIFS(Compras!$D$6:$D$605,Compras!$B$6:$B$605,$A95,Compras!$C$6:$C$605,"Chico")-SUMIFS(Ventas!$D$6:$D$605,Ventas!$B$6:$B$605,$A95,Ventas!$C$6:$C$605,"Chico"),""))</f>
        <v/>
      </c>
      <c r="F95" s="69" t="str">
        <f aca="false">IF($A95="","",IF(LEFT($C95,6)="Anillo",SUMIFS(Compras!$D$6:$D$605,Compras!$B$6:$B$605,$A95,Compras!$C$6:$C$605,"Mediano")-SUMIFS(Ventas!$D$6:$D$605,Ventas!$B$6:$B$605,$A95,Ventas!$C$6:$C$605,"Mediano"),""))</f>
        <v/>
      </c>
      <c r="G95" s="69" t="str">
        <f aca="false">IF($A95="","",IF(LEFT($C95,6)="Anillo",SUMIFS(Compras!$D$6:$D$605,Compras!$B$6:$B$605,$A95,Compras!$C$6:$C$605,"Grande")-SUMIFS(Ventas!$D$6:$D$605,Ventas!$B$6:$B$605,$A95,Ventas!$C$6:$C$605,"Grande"),""))</f>
        <v/>
      </c>
      <c r="H95" s="69" t="n">
        <f aca="false">IF($A95="","",N($D95)+N($E95)+N($F95)+N($G95))</f>
        <v>1</v>
      </c>
      <c r="I95" s="70" t="str">
        <f aca="false">IF($A95="","",IF(N($H95)&lt;=0,"SIN STOCK",IF(LEFT($C95,6)="Anillo",IF(IF(AND(SUMIFS(Compras!$D$6:$D$605,Compras!$B$6:$B$605,$A95,Compras!$C$6:$C$605,"Chico")&gt;0,N($E95)&lt;=$B$5),"C ","")&amp;IF(AND(SUMIFS(Compras!$D$6:$D$605,Compras!$B$6:$B$605,$A95,Compras!$C$6:$C$605,"Mediano")&gt;0,N($F95)&lt;=$B$5),"M ","")&amp;IF(AND(SUMIFS(Compras!$D$6:$D$605,Compras!$B$6:$B$605,$A95,Compras!$C$6:$C$605,"Grande")&gt;0,N($G95)&lt;=$B$5),"G","")="","","Reponer "&amp;IF(AND(SUMIFS(Compras!$D$6:$D$605,Compras!$B$6:$B$605,$A95,Compras!$C$6:$C$605,"Chico")&gt;0,N($E95)&lt;=$B$5),"C ","")&amp;IF(AND(SUMIFS(Compras!$D$6:$D$605,Compras!$B$6:$B$605,$A95,Compras!$C$6:$C$605,"Mediano")&gt;0,N($F95)&lt;=$B$5),"M ","")&amp;IF(AND(SUMIFS(Compras!$D$6:$D$605,Compras!$B$6:$B$605,$A95,Compras!$C$6:$C$605,"Grande")&gt;0,N($G95)&lt;=$B$5),"G","")),IF(N($H95)&lt;=$B$5,"REPONER",""))))</f>
        <v>REPONER</v>
      </c>
      <c r="J95" s="69" t="n">
        <f aca="false">IF($A95="","",SUMIFS(Ventas!$D$6:$D$605,Ventas!$B$6:$B$605,$A95))</f>
        <v>0</v>
      </c>
      <c r="K95" s="45" t="n">
        <f aca="false">IF($A95="","",SUMIFS(Ventas!$F$6:$F$605,Ventas!$B$6:$B$605,$A95))</f>
        <v>0</v>
      </c>
    </row>
    <row r="96" customFormat="false" ht="15.75" hidden="false" customHeight="true" outlineLevel="0" collapsed="false">
      <c r="A96" s="68" t="str">
        <f aca="false">IF(Costos!$A110="","",Costos!$A110)</f>
        <v>Collar Ala</v>
      </c>
      <c r="B96" s="68" t="str">
        <f aca="false">IF(Costos!$A110="","",Costos!$B110&amp;"")</f>
        <v>Boho Colection</v>
      </c>
      <c r="C96" s="68" t="str">
        <f aca="false">IF(Costos!$A110="","",Costos!$C110&amp;"")</f>
        <v>Collar</v>
      </c>
      <c r="D96" s="69" t="n">
        <f aca="false">IF($A96="","",SUMIFS(Compras!$D$6:$D$605,Compras!$B$6:$B$605,$A96,Compras!$C$6:$C$605,"Único")-SUMIFS(Ventas!$D$6:$D$605,Ventas!$B$6:$B$605,$A96,Ventas!$C$6:$C$605,"Único"))</f>
        <v>1</v>
      </c>
      <c r="E96" s="69" t="str">
        <f aca="false">IF($A96="","",IF(LEFT($C96,6)="Anillo",SUMIFS(Compras!$D$6:$D$605,Compras!$B$6:$B$605,$A96,Compras!$C$6:$C$605,"Chico")-SUMIFS(Ventas!$D$6:$D$605,Ventas!$B$6:$B$605,$A96,Ventas!$C$6:$C$605,"Chico"),""))</f>
        <v/>
      </c>
      <c r="F96" s="69" t="str">
        <f aca="false">IF($A96="","",IF(LEFT($C96,6)="Anillo",SUMIFS(Compras!$D$6:$D$605,Compras!$B$6:$B$605,$A96,Compras!$C$6:$C$605,"Mediano")-SUMIFS(Ventas!$D$6:$D$605,Ventas!$B$6:$B$605,$A96,Ventas!$C$6:$C$605,"Mediano"),""))</f>
        <v/>
      </c>
      <c r="G96" s="69" t="str">
        <f aca="false">IF($A96="","",IF(LEFT($C96,6)="Anillo",SUMIFS(Compras!$D$6:$D$605,Compras!$B$6:$B$605,$A96,Compras!$C$6:$C$605,"Grande")-SUMIFS(Ventas!$D$6:$D$605,Ventas!$B$6:$B$605,$A96,Ventas!$C$6:$C$605,"Grande"),""))</f>
        <v/>
      </c>
      <c r="H96" s="69" t="n">
        <f aca="false">IF($A96="","",N($D96)+N($E96)+N($F96)+N($G96))</f>
        <v>1</v>
      </c>
      <c r="I96" s="70" t="str">
        <f aca="false">IF($A96="","",IF(N($H96)&lt;=0,"SIN STOCK",IF(LEFT($C96,6)="Anillo",IF(IF(AND(SUMIFS(Compras!$D$6:$D$605,Compras!$B$6:$B$605,$A96,Compras!$C$6:$C$605,"Chico")&gt;0,N($E96)&lt;=$B$5),"C ","")&amp;IF(AND(SUMIFS(Compras!$D$6:$D$605,Compras!$B$6:$B$605,$A96,Compras!$C$6:$C$605,"Mediano")&gt;0,N($F96)&lt;=$B$5),"M ","")&amp;IF(AND(SUMIFS(Compras!$D$6:$D$605,Compras!$B$6:$B$605,$A96,Compras!$C$6:$C$605,"Grande")&gt;0,N($G96)&lt;=$B$5),"G","")="","","Reponer "&amp;IF(AND(SUMIFS(Compras!$D$6:$D$605,Compras!$B$6:$B$605,$A96,Compras!$C$6:$C$605,"Chico")&gt;0,N($E96)&lt;=$B$5),"C ","")&amp;IF(AND(SUMIFS(Compras!$D$6:$D$605,Compras!$B$6:$B$605,$A96,Compras!$C$6:$C$605,"Mediano")&gt;0,N($F96)&lt;=$B$5),"M ","")&amp;IF(AND(SUMIFS(Compras!$D$6:$D$605,Compras!$B$6:$B$605,$A96,Compras!$C$6:$C$605,"Grande")&gt;0,N($G96)&lt;=$B$5),"G","")),IF(N($H96)&lt;=$B$5,"REPONER",""))))</f>
        <v>REPONER</v>
      </c>
      <c r="J96" s="69" t="n">
        <f aca="false">IF($A96="","",SUMIFS(Ventas!$D$6:$D$605,Ventas!$B$6:$B$605,$A96))</f>
        <v>0</v>
      </c>
      <c r="K96" s="45" t="n">
        <f aca="false">IF($A96="","",SUMIFS(Ventas!$F$6:$F$605,Ventas!$B$6:$B$605,$A96))</f>
        <v>0</v>
      </c>
    </row>
    <row r="97" customFormat="false" ht="15.75" hidden="false" customHeight="true" outlineLevel="0" collapsed="false">
      <c r="A97" s="68" t="str">
        <f aca="false">IF(Costos!$A111="","",Costos!$A111)</f>
        <v>Collar Roma</v>
      </c>
      <c r="B97" s="68" t="str">
        <f aca="false">IF(Costos!$A111="","",Costos!$B111&amp;"")</f>
        <v>Boho Colection</v>
      </c>
      <c r="C97" s="68" t="str">
        <f aca="false">IF(Costos!$A111="","",Costos!$C111&amp;"")</f>
        <v>Collar</v>
      </c>
      <c r="D97" s="69" t="n">
        <f aca="false">IF($A97="","",SUMIFS(Compras!$D$6:$D$605,Compras!$B$6:$B$605,$A97,Compras!$C$6:$C$605,"Único")-SUMIFS(Ventas!$D$6:$D$605,Ventas!$B$6:$B$605,$A97,Ventas!$C$6:$C$605,"Único"))</f>
        <v>1</v>
      </c>
      <c r="E97" s="69" t="str">
        <f aca="false">IF($A97="","",IF(LEFT($C97,6)="Anillo",SUMIFS(Compras!$D$6:$D$605,Compras!$B$6:$B$605,$A97,Compras!$C$6:$C$605,"Chico")-SUMIFS(Ventas!$D$6:$D$605,Ventas!$B$6:$B$605,$A97,Ventas!$C$6:$C$605,"Chico"),""))</f>
        <v/>
      </c>
      <c r="F97" s="69" t="str">
        <f aca="false">IF($A97="","",IF(LEFT($C97,6)="Anillo",SUMIFS(Compras!$D$6:$D$605,Compras!$B$6:$B$605,$A97,Compras!$C$6:$C$605,"Mediano")-SUMIFS(Ventas!$D$6:$D$605,Ventas!$B$6:$B$605,$A97,Ventas!$C$6:$C$605,"Mediano"),""))</f>
        <v/>
      </c>
      <c r="G97" s="69" t="str">
        <f aca="false">IF($A97="","",IF(LEFT($C97,6)="Anillo",SUMIFS(Compras!$D$6:$D$605,Compras!$B$6:$B$605,$A97,Compras!$C$6:$C$605,"Grande")-SUMIFS(Ventas!$D$6:$D$605,Ventas!$B$6:$B$605,$A97,Ventas!$C$6:$C$605,"Grande"),""))</f>
        <v/>
      </c>
      <c r="H97" s="69" t="n">
        <f aca="false">IF($A97="","",N($D97)+N($E97)+N($F97)+N($G97))</f>
        <v>1</v>
      </c>
      <c r="I97" s="70" t="str">
        <f aca="false">IF($A97="","",IF(N($H97)&lt;=0,"SIN STOCK",IF(LEFT($C97,6)="Anillo",IF(IF(AND(SUMIFS(Compras!$D$6:$D$605,Compras!$B$6:$B$605,$A97,Compras!$C$6:$C$605,"Chico")&gt;0,N($E97)&lt;=$B$5),"C ","")&amp;IF(AND(SUMIFS(Compras!$D$6:$D$605,Compras!$B$6:$B$605,$A97,Compras!$C$6:$C$605,"Mediano")&gt;0,N($F97)&lt;=$B$5),"M ","")&amp;IF(AND(SUMIFS(Compras!$D$6:$D$605,Compras!$B$6:$B$605,$A97,Compras!$C$6:$C$605,"Grande")&gt;0,N($G97)&lt;=$B$5),"G","")="","","Reponer "&amp;IF(AND(SUMIFS(Compras!$D$6:$D$605,Compras!$B$6:$B$605,$A97,Compras!$C$6:$C$605,"Chico")&gt;0,N($E97)&lt;=$B$5),"C ","")&amp;IF(AND(SUMIFS(Compras!$D$6:$D$605,Compras!$B$6:$B$605,$A97,Compras!$C$6:$C$605,"Mediano")&gt;0,N($F97)&lt;=$B$5),"M ","")&amp;IF(AND(SUMIFS(Compras!$D$6:$D$605,Compras!$B$6:$B$605,$A97,Compras!$C$6:$C$605,"Grande")&gt;0,N($G97)&lt;=$B$5),"G","")),IF(N($H97)&lt;=$B$5,"REPONER",""))))</f>
        <v>REPONER</v>
      </c>
      <c r="J97" s="69" t="n">
        <f aca="false">IF($A97="","",SUMIFS(Ventas!$D$6:$D$605,Ventas!$B$6:$B$605,$A97))</f>
        <v>0</v>
      </c>
      <c r="K97" s="45" t="n">
        <f aca="false">IF($A97="","",SUMIFS(Ventas!$F$6:$F$605,Ventas!$B$6:$B$605,$A97))</f>
        <v>0</v>
      </c>
    </row>
    <row r="98" customFormat="false" ht="15.75" hidden="false" customHeight="true" outlineLevel="0" collapsed="false">
      <c r="A98" s="68" t="str">
        <f aca="false">IF(Costos!$A112="","",Costos!$A112)</f>
        <v>Collar Lira</v>
      </c>
      <c r="B98" s="68" t="str">
        <f aca="false">IF(Costos!$A112="","",Costos!$B112&amp;"")</f>
        <v>Boho Colection</v>
      </c>
      <c r="C98" s="68" t="str">
        <f aca="false">IF(Costos!$A112="","",Costos!$C112&amp;"")</f>
        <v>Collar</v>
      </c>
      <c r="D98" s="69" t="n">
        <f aca="false">IF($A98="","",SUMIFS(Compras!$D$6:$D$605,Compras!$B$6:$B$605,$A98,Compras!$C$6:$C$605,"Único")-SUMIFS(Ventas!$D$6:$D$605,Ventas!$B$6:$B$605,$A98,Ventas!$C$6:$C$605,"Único"))</f>
        <v>1</v>
      </c>
      <c r="E98" s="69" t="str">
        <f aca="false">IF($A98="","",IF(LEFT($C98,6)="Anillo",SUMIFS(Compras!$D$6:$D$605,Compras!$B$6:$B$605,$A98,Compras!$C$6:$C$605,"Chico")-SUMIFS(Ventas!$D$6:$D$605,Ventas!$B$6:$B$605,$A98,Ventas!$C$6:$C$605,"Chico"),""))</f>
        <v/>
      </c>
      <c r="F98" s="69" t="str">
        <f aca="false">IF($A98="","",IF(LEFT($C98,6)="Anillo",SUMIFS(Compras!$D$6:$D$605,Compras!$B$6:$B$605,$A98,Compras!$C$6:$C$605,"Mediano")-SUMIFS(Ventas!$D$6:$D$605,Ventas!$B$6:$B$605,$A98,Ventas!$C$6:$C$605,"Mediano"),""))</f>
        <v/>
      </c>
      <c r="G98" s="69" t="str">
        <f aca="false">IF($A98="","",IF(LEFT($C98,6)="Anillo",SUMIFS(Compras!$D$6:$D$605,Compras!$B$6:$B$605,$A98,Compras!$C$6:$C$605,"Grande")-SUMIFS(Ventas!$D$6:$D$605,Ventas!$B$6:$B$605,$A98,Ventas!$C$6:$C$605,"Grande"),""))</f>
        <v/>
      </c>
      <c r="H98" s="69" t="n">
        <f aca="false">IF($A98="","",N($D98)+N($E98)+N($F98)+N($G98))</f>
        <v>1</v>
      </c>
      <c r="I98" s="70" t="str">
        <f aca="false">IF($A98="","",IF(N($H98)&lt;=0,"SIN STOCK",IF(LEFT($C98,6)="Anillo",IF(IF(AND(SUMIFS(Compras!$D$6:$D$605,Compras!$B$6:$B$605,$A98,Compras!$C$6:$C$605,"Chico")&gt;0,N($E98)&lt;=$B$5),"C ","")&amp;IF(AND(SUMIFS(Compras!$D$6:$D$605,Compras!$B$6:$B$605,$A98,Compras!$C$6:$C$605,"Mediano")&gt;0,N($F98)&lt;=$B$5),"M ","")&amp;IF(AND(SUMIFS(Compras!$D$6:$D$605,Compras!$B$6:$B$605,$A98,Compras!$C$6:$C$605,"Grande")&gt;0,N($G98)&lt;=$B$5),"G","")="","","Reponer "&amp;IF(AND(SUMIFS(Compras!$D$6:$D$605,Compras!$B$6:$B$605,$A98,Compras!$C$6:$C$605,"Chico")&gt;0,N($E98)&lt;=$B$5),"C ","")&amp;IF(AND(SUMIFS(Compras!$D$6:$D$605,Compras!$B$6:$B$605,$A98,Compras!$C$6:$C$605,"Mediano")&gt;0,N($F98)&lt;=$B$5),"M ","")&amp;IF(AND(SUMIFS(Compras!$D$6:$D$605,Compras!$B$6:$B$605,$A98,Compras!$C$6:$C$605,"Grande")&gt;0,N($G98)&lt;=$B$5),"G","")),IF(N($H98)&lt;=$B$5,"REPONER",""))))</f>
        <v>REPONER</v>
      </c>
      <c r="J98" s="69" t="n">
        <f aca="false">IF($A98="","",SUMIFS(Ventas!$D$6:$D$605,Ventas!$B$6:$B$605,$A98))</f>
        <v>0</v>
      </c>
      <c r="K98" s="45" t="n">
        <f aca="false">IF($A98="","",SUMIFS(Ventas!$F$6:$F$605,Ventas!$B$6:$B$605,$A98))</f>
        <v>0</v>
      </c>
    </row>
    <row r="99" customFormat="false" ht="15.75" hidden="false" customHeight="true" outlineLevel="0" collapsed="false">
      <c r="A99" s="68" t="str">
        <f aca="false">IF(Costos!$A113="","",Costos!$A113)</f>
        <v>Collar Peltre</v>
      </c>
      <c r="B99" s="68" t="str">
        <f aca="false">IF(Costos!$A113="","",Costos!$B113&amp;"")</f>
        <v>Boho Colection</v>
      </c>
      <c r="C99" s="68" t="str">
        <f aca="false">IF(Costos!$A113="","",Costos!$C113&amp;"")</f>
        <v>Collar</v>
      </c>
      <c r="D99" s="69" t="n">
        <f aca="false">IF($A99="","",SUMIFS(Compras!$D$6:$D$605,Compras!$B$6:$B$605,$A99,Compras!$C$6:$C$605,"Único")-SUMIFS(Ventas!$D$6:$D$605,Ventas!$B$6:$B$605,$A99,Ventas!$C$6:$C$605,"Único"))</f>
        <v>1</v>
      </c>
      <c r="E99" s="69" t="str">
        <f aca="false">IF($A99="","",IF(LEFT($C99,6)="Anillo",SUMIFS(Compras!$D$6:$D$605,Compras!$B$6:$B$605,$A99,Compras!$C$6:$C$605,"Chico")-SUMIFS(Ventas!$D$6:$D$605,Ventas!$B$6:$B$605,$A99,Ventas!$C$6:$C$605,"Chico"),""))</f>
        <v/>
      </c>
      <c r="F99" s="69" t="str">
        <f aca="false">IF($A99="","",IF(LEFT($C99,6)="Anillo",SUMIFS(Compras!$D$6:$D$605,Compras!$B$6:$B$605,$A99,Compras!$C$6:$C$605,"Mediano")-SUMIFS(Ventas!$D$6:$D$605,Ventas!$B$6:$B$605,$A99,Ventas!$C$6:$C$605,"Mediano"),""))</f>
        <v/>
      </c>
      <c r="G99" s="69" t="str">
        <f aca="false">IF($A99="","",IF(LEFT($C99,6)="Anillo",SUMIFS(Compras!$D$6:$D$605,Compras!$B$6:$B$605,$A99,Compras!$C$6:$C$605,"Grande")-SUMIFS(Ventas!$D$6:$D$605,Ventas!$B$6:$B$605,$A99,Ventas!$C$6:$C$605,"Grande"),""))</f>
        <v/>
      </c>
      <c r="H99" s="69" t="n">
        <f aca="false">IF($A99="","",N($D99)+N($E99)+N($F99)+N($G99))</f>
        <v>1</v>
      </c>
      <c r="I99" s="70" t="str">
        <f aca="false">IF($A99="","",IF(N($H99)&lt;=0,"SIN STOCK",IF(LEFT($C99,6)="Anillo",IF(IF(AND(SUMIFS(Compras!$D$6:$D$605,Compras!$B$6:$B$605,$A99,Compras!$C$6:$C$605,"Chico")&gt;0,N($E99)&lt;=$B$5),"C ","")&amp;IF(AND(SUMIFS(Compras!$D$6:$D$605,Compras!$B$6:$B$605,$A99,Compras!$C$6:$C$605,"Mediano")&gt;0,N($F99)&lt;=$B$5),"M ","")&amp;IF(AND(SUMIFS(Compras!$D$6:$D$605,Compras!$B$6:$B$605,$A99,Compras!$C$6:$C$605,"Grande")&gt;0,N($G99)&lt;=$B$5),"G","")="","","Reponer "&amp;IF(AND(SUMIFS(Compras!$D$6:$D$605,Compras!$B$6:$B$605,$A99,Compras!$C$6:$C$605,"Chico")&gt;0,N($E99)&lt;=$B$5),"C ","")&amp;IF(AND(SUMIFS(Compras!$D$6:$D$605,Compras!$B$6:$B$605,$A99,Compras!$C$6:$C$605,"Mediano")&gt;0,N($F99)&lt;=$B$5),"M ","")&amp;IF(AND(SUMIFS(Compras!$D$6:$D$605,Compras!$B$6:$B$605,$A99,Compras!$C$6:$C$605,"Grande")&gt;0,N($G99)&lt;=$B$5),"G","")),IF(N($H99)&lt;=$B$5,"REPONER",""))))</f>
        <v>REPONER</v>
      </c>
      <c r="J99" s="69" t="n">
        <f aca="false">IF($A99="","",SUMIFS(Ventas!$D$6:$D$605,Ventas!$B$6:$B$605,$A99))</f>
        <v>0</v>
      </c>
      <c r="K99" s="45" t="n">
        <f aca="false">IF($A99="","",SUMIFS(Ventas!$F$6:$F$605,Ventas!$B$6:$B$605,$A99))</f>
        <v>0</v>
      </c>
    </row>
    <row r="100" customFormat="false" ht="15.75" hidden="false" customHeight="true" outlineLevel="0" collapsed="false">
      <c r="A100" s="68" t="str">
        <f aca="false">IF(Costos!$A114="","",Costos!$A114)</f>
        <v>Collar Marea</v>
      </c>
      <c r="B100" s="68" t="str">
        <f aca="false">IF(Costos!$A114="","",Costos!$B114&amp;"")</f>
        <v>Boho Colection</v>
      </c>
      <c r="C100" s="68" t="str">
        <f aca="false">IF(Costos!$A114="","",Costos!$C114&amp;"")</f>
        <v>Collar</v>
      </c>
      <c r="D100" s="69" t="n">
        <f aca="false">IF($A100="","",SUMIFS(Compras!$D$6:$D$605,Compras!$B$6:$B$605,$A100,Compras!$C$6:$C$605,"Único")-SUMIFS(Ventas!$D$6:$D$605,Ventas!$B$6:$B$605,$A100,Ventas!$C$6:$C$605,"Único"))</f>
        <v>1</v>
      </c>
      <c r="E100" s="69" t="str">
        <f aca="false">IF($A100="","",IF(LEFT($C100,6)="Anillo",SUMIFS(Compras!$D$6:$D$605,Compras!$B$6:$B$605,$A100,Compras!$C$6:$C$605,"Chico")-SUMIFS(Ventas!$D$6:$D$605,Ventas!$B$6:$B$605,$A100,Ventas!$C$6:$C$605,"Chico"),""))</f>
        <v/>
      </c>
      <c r="F100" s="69" t="str">
        <f aca="false">IF($A100="","",IF(LEFT($C100,6)="Anillo",SUMIFS(Compras!$D$6:$D$605,Compras!$B$6:$B$605,$A100,Compras!$C$6:$C$605,"Mediano")-SUMIFS(Ventas!$D$6:$D$605,Ventas!$B$6:$B$605,$A100,Ventas!$C$6:$C$605,"Mediano"),""))</f>
        <v/>
      </c>
      <c r="G100" s="69" t="str">
        <f aca="false">IF($A100="","",IF(LEFT($C100,6)="Anillo",SUMIFS(Compras!$D$6:$D$605,Compras!$B$6:$B$605,$A100,Compras!$C$6:$C$605,"Grande")-SUMIFS(Ventas!$D$6:$D$605,Ventas!$B$6:$B$605,$A100,Ventas!$C$6:$C$605,"Grande"),""))</f>
        <v/>
      </c>
      <c r="H100" s="69" t="n">
        <f aca="false">IF($A100="","",N($D100)+N($E100)+N($F100)+N($G100))</f>
        <v>1</v>
      </c>
      <c r="I100" s="70" t="str">
        <f aca="false">IF($A100="","",IF(N($H100)&lt;=0,"SIN STOCK",IF(LEFT($C100,6)="Anillo",IF(IF(AND(SUMIFS(Compras!$D$6:$D$605,Compras!$B$6:$B$605,$A100,Compras!$C$6:$C$605,"Chico")&gt;0,N($E100)&lt;=$B$5),"C ","")&amp;IF(AND(SUMIFS(Compras!$D$6:$D$605,Compras!$B$6:$B$605,$A100,Compras!$C$6:$C$605,"Mediano")&gt;0,N($F100)&lt;=$B$5),"M ","")&amp;IF(AND(SUMIFS(Compras!$D$6:$D$605,Compras!$B$6:$B$605,$A100,Compras!$C$6:$C$605,"Grande")&gt;0,N($G100)&lt;=$B$5),"G","")="","","Reponer "&amp;IF(AND(SUMIFS(Compras!$D$6:$D$605,Compras!$B$6:$B$605,$A100,Compras!$C$6:$C$605,"Chico")&gt;0,N($E100)&lt;=$B$5),"C ","")&amp;IF(AND(SUMIFS(Compras!$D$6:$D$605,Compras!$B$6:$B$605,$A100,Compras!$C$6:$C$605,"Mediano")&gt;0,N($F100)&lt;=$B$5),"M ","")&amp;IF(AND(SUMIFS(Compras!$D$6:$D$605,Compras!$B$6:$B$605,$A100,Compras!$C$6:$C$605,"Grande")&gt;0,N($G100)&lt;=$B$5),"G","")),IF(N($H100)&lt;=$B$5,"REPONER",""))))</f>
        <v>REPONER</v>
      </c>
      <c r="J100" s="69" t="n">
        <f aca="false">IF($A100="","",SUMIFS(Ventas!$D$6:$D$605,Ventas!$B$6:$B$605,$A100))</f>
        <v>0</v>
      </c>
      <c r="K100" s="45" t="n">
        <f aca="false">IF($A100="","",SUMIFS(Ventas!$F$6:$F$605,Ventas!$B$6:$B$605,$A100))</f>
        <v>0</v>
      </c>
    </row>
    <row r="101" customFormat="false" ht="15.75" hidden="false" customHeight="true" outlineLevel="0" collapsed="false">
      <c r="A101" s="68" t="str">
        <f aca="false">IF(Costos!$A115="","",Costos!$A115)</f>
        <v>Collar Arena</v>
      </c>
      <c r="B101" s="68" t="str">
        <f aca="false">IF(Costos!$A115="","",Costos!$B115&amp;"")</f>
        <v>Boho Colection</v>
      </c>
      <c r="C101" s="68" t="str">
        <f aca="false">IF(Costos!$A115="","",Costos!$C115&amp;"")</f>
        <v>Collar</v>
      </c>
      <c r="D101" s="69" t="n">
        <f aca="false">IF($A101="","",SUMIFS(Compras!$D$6:$D$605,Compras!$B$6:$B$605,$A101,Compras!$C$6:$C$605,"Único")-SUMIFS(Ventas!$D$6:$D$605,Ventas!$B$6:$B$605,$A101,Ventas!$C$6:$C$605,"Único"))</f>
        <v>1</v>
      </c>
      <c r="E101" s="69" t="str">
        <f aca="false">IF($A101="","",IF(LEFT($C101,6)="Anillo",SUMIFS(Compras!$D$6:$D$605,Compras!$B$6:$B$605,$A101,Compras!$C$6:$C$605,"Chico")-SUMIFS(Ventas!$D$6:$D$605,Ventas!$B$6:$B$605,$A101,Ventas!$C$6:$C$605,"Chico"),""))</f>
        <v/>
      </c>
      <c r="F101" s="69" t="str">
        <f aca="false">IF($A101="","",IF(LEFT($C101,6)="Anillo",SUMIFS(Compras!$D$6:$D$605,Compras!$B$6:$B$605,$A101,Compras!$C$6:$C$605,"Mediano")-SUMIFS(Ventas!$D$6:$D$605,Ventas!$B$6:$B$605,$A101,Ventas!$C$6:$C$605,"Mediano"),""))</f>
        <v/>
      </c>
      <c r="G101" s="69" t="str">
        <f aca="false">IF($A101="","",IF(LEFT($C101,6)="Anillo",SUMIFS(Compras!$D$6:$D$605,Compras!$B$6:$B$605,$A101,Compras!$C$6:$C$605,"Grande")-SUMIFS(Ventas!$D$6:$D$605,Ventas!$B$6:$B$605,$A101,Ventas!$C$6:$C$605,"Grande"),""))</f>
        <v/>
      </c>
      <c r="H101" s="69" t="n">
        <f aca="false">IF($A101="","",N($D101)+N($E101)+N($F101)+N($G101))</f>
        <v>1</v>
      </c>
      <c r="I101" s="70" t="str">
        <f aca="false">IF($A101="","",IF(N($H101)&lt;=0,"SIN STOCK",IF(LEFT($C101,6)="Anillo",IF(IF(AND(SUMIFS(Compras!$D$6:$D$605,Compras!$B$6:$B$605,$A101,Compras!$C$6:$C$605,"Chico")&gt;0,N($E101)&lt;=$B$5),"C ","")&amp;IF(AND(SUMIFS(Compras!$D$6:$D$605,Compras!$B$6:$B$605,$A101,Compras!$C$6:$C$605,"Mediano")&gt;0,N($F101)&lt;=$B$5),"M ","")&amp;IF(AND(SUMIFS(Compras!$D$6:$D$605,Compras!$B$6:$B$605,$A101,Compras!$C$6:$C$605,"Grande")&gt;0,N($G101)&lt;=$B$5),"G","")="","","Reponer "&amp;IF(AND(SUMIFS(Compras!$D$6:$D$605,Compras!$B$6:$B$605,$A101,Compras!$C$6:$C$605,"Chico")&gt;0,N($E101)&lt;=$B$5),"C ","")&amp;IF(AND(SUMIFS(Compras!$D$6:$D$605,Compras!$B$6:$B$605,$A101,Compras!$C$6:$C$605,"Mediano")&gt;0,N($F101)&lt;=$B$5),"M ","")&amp;IF(AND(SUMIFS(Compras!$D$6:$D$605,Compras!$B$6:$B$605,$A101,Compras!$C$6:$C$605,"Grande")&gt;0,N($G101)&lt;=$B$5),"G","")),IF(N($H101)&lt;=$B$5,"REPONER",""))))</f>
        <v>REPONER</v>
      </c>
      <c r="J101" s="69" t="n">
        <f aca="false">IF($A101="","",SUMIFS(Ventas!$D$6:$D$605,Ventas!$B$6:$B$605,$A101))</f>
        <v>0</v>
      </c>
      <c r="K101" s="45" t="n">
        <f aca="false">IF($A101="","",SUMIFS(Ventas!$F$6:$F$605,Ventas!$B$6:$B$605,$A101))</f>
        <v>0</v>
      </c>
    </row>
    <row r="102" customFormat="false" ht="15.75" hidden="false" customHeight="true" outlineLevel="0" collapsed="false">
      <c r="A102" s="68" t="str">
        <f aca="false">IF(Costos!$A116="","",Costos!$A116)</f>
        <v/>
      </c>
      <c r="B102" s="68" t="str">
        <f aca="false">IF(Costos!$A116="","",Costos!$B116&amp;"")</f>
        <v/>
      </c>
      <c r="C102" s="68" t="str">
        <f aca="false">IF(Costos!$A116="","",Costos!$C116&amp;"")</f>
        <v/>
      </c>
      <c r="D102" s="69" t="str">
        <f aca="false">IF($A102="","",SUMIFS(Compras!$D$6:$D$605,Compras!$B$6:$B$605,$A102,Compras!$C$6:$C$605,"Único")-SUMIFS(Ventas!$D$6:$D$605,Ventas!$B$6:$B$605,$A102,Ventas!$C$6:$C$605,"Único"))</f>
        <v/>
      </c>
      <c r="E102" s="69" t="str">
        <f aca="false">IF($A102="","",IF(LEFT($C102,6)="Anillo",SUMIFS(Compras!$D$6:$D$605,Compras!$B$6:$B$605,$A102,Compras!$C$6:$C$605,"Chico")-SUMIFS(Ventas!$D$6:$D$605,Ventas!$B$6:$B$605,$A102,Ventas!$C$6:$C$605,"Chico"),""))</f>
        <v/>
      </c>
      <c r="F102" s="69" t="str">
        <f aca="false">IF($A102="","",IF(LEFT($C102,6)="Anillo",SUMIFS(Compras!$D$6:$D$605,Compras!$B$6:$B$605,$A102,Compras!$C$6:$C$605,"Mediano")-SUMIFS(Ventas!$D$6:$D$605,Ventas!$B$6:$B$605,$A102,Ventas!$C$6:$C$605,"Mediano"),""))</f>
        <v/>
      </c>
      <c r="G102" s="69" t="str">
        <f aca="false">IF($A102="","",IF(LEFT($C102,6)="Anillo",SUMIFS(Compras!$D$6:$D$605,Compras!$B$6:$B$605,$A102,Compras!$C$6:$C$605,"Grande")-SUMIFS(Ventas!$D$6:$D$605,Ventas!$B$6:$B$605,$A102,Ventas!$C$6:$C$605,"Grande"),""))</f>
        <v/>
      </c>
      <c r="H102" s="69" t="str">
        <f aca="false">IF($A102="","",N($D102)+N($E102)+N($F102)+N($G102))</f>
        <v/>
      </c>
      <c r="I102" s="70" t="str">
        <f aca="false">IF($A102="","",IF(N($H102)&lt;=0,"SIN STOCK",IF(LEFT($C102,6)="Anillo",IF(IF(AND(SUMIFS(Compras!$D$6:$D$605,Compras!$B$6:$B$605,$A102,Compras!$C$6:$C$605,"Chico")&gt;0,N($E102)&lt;=$B$5),"C ","")&amp;IF(AND(SUMIFS(Compras!$D$6:$D$605,Compras!$B$6:$B$605,$A102,Compras!$C$6:$C$605,"Mediano")&gt;0,N($F102)&lt;=$B$5),"M ","")&amp;IF(AND(SUMIFS(Compras!$D$6:$D$605,Compras!$B$6:$B$605,$A102,Compras!$C$6:$C$605,"Grande")&gt;0,N($G102)&lt;=$B$5),"G","")="","","Reponer "&amp;IF(AND(SUMIFS(Compras!$D$6:$D$605,Compras!$B$6:$B$605,$A102,Compras!$C$6:$C$605,"Chico")&gt;0,N($E102)&lt;=$B$5),"C ","")&amp;IF(AND(SUMIFS(Compras!$D$6:$D$605,Compras!$B$6:$B$605,$A102,Compras!$C$6:$C$605,"Mediano")&gt;0,N($F102)&lt;=$B$5),"M ","")&amp;IF(AND(SUMIFS(Compras!$D$6:$D$605,Compras!$B$6:$B$605,$A102,Compras!$C$6:$C$605,"Grande")&gt;0,N($G102)&lt;=$B$5),"G","")),IF(N($H102)&lt;=$B$5,"REPONER",""))))</f>
        <v/>
      </c>
      <c r="J102" s="69" t="str">
        <f aca="false">IF($A102="","",SUMIFS(Ventas!$D$6:$D$605,Ventas!$B$6:$B$605,$A102))</f>
        <v/>
      </c>
      <c r="K102" s="45" t="str">
        <f aca="false">IF($A102="","",SUMIFS(Ventas!$F$6:$F$605,Ventas!$B$6:$B$605,$A102))</f>
        <v/>
      </c>
    </row>
    <row r="103" customFormat="false" ht="15.75" hidden="false" customHeight="true" outlineLevel="0" collapsed="false">
      <c r="A103" s="68" t="str">
        <f aca="false">IF(Costos!$A117="","",Costos!$A117)</f>
        <v/>
      </c>
      <c r="B103" s="68" t="str">
        <f aca="false">IF(Costos!$A117="","",Costos!$B117&amp;"")</f>
        <v/>
      </c>
      <c r="C103" s="68" t="str">
        <f aca="false">IF(Costos!$A117="","",Costos!$C117&amp;"")</f>
        <v/>
      </c>
      <c r="D103" s="69" t="str">
        <f aca="false">IF($A103="","",SUMIFS(Compras!$D$6:$D$605,Compras!$B$6:$B$605,$A103,Compras!$C$6:$C$605,"Único")-SUMIFS(Ventas!$D$6:$D$605,Ventas!$B$6:$B$605,$A103,Ventas!$C$6:$C$605,"Único"))</f>
        <v/>
      </c>
      <c r="E103" s="69" t="str">
        <f aca="false">IF($A103="","",IF(LEFT($C103,6)="Anillo",SUMIFS(Compras!$D$6:$D$605,Compras!$B$6:$B$605,$A103,Compras!$C$6:$C$605,"Chico")-SUMIFS(Ventas!$D$6:$D$605,Ventas!$B$6:$B$605,$A103,Ventas!$C$6:$C$605,"Chico"),""))</f>
        <v/>
      </c>
      <c r="F103" s="69" t="str">
        <f aca="false">IF($A103="","",IF(LEFT($C103,6)="Anillo",SUMIFS(Compras!$D$6:$D$605,Compras!$B$6:$B$605,$A103,Compras!$C$6:$C$605,"Mediano")-SUMIFS(Ventas!$D$6:$D$605,Ventas!$B$6:$B$605,$A103,Ventas!$C$6:$C$605,"Mediano"),""))</f>
        <v/>
      </c>
      <c r="G103" s="69" t="str">
        <f aca="false">IF($A103="","",IF(LEFT($C103,6)="Anillo",SUMIFS(Compras!$D$6:$D$605,Compras!$B$6:$B$605,$A103,Compras!$C$6:$C$605,"Grande")-SUMIFS(Ventas!$D$6:$D$605,Ventas!$B$6:$B$605,$A103,Ventas!$C$6:$C$605,"Grande"),""))</f>
        <v/>
      </c>
      <c r="H103" s="69" t="str">
        <f aca="false">IF($A103="","",N($D103)+N($E103)+N($F103)+N($G103))</f>
        <v/>
      </c>
      <c r="I103" s="70" t="str">
        <f aca="false">IF($A103="","",IF(N($H103)&lt;=0,"SIN STOCK",IF(LEFT($C103,6)="Anillo",IF(IF(AND(SUMIFS(Compras!$D$6:$D$605,Compras!$B$6:$B$605,$A103,Compras!$C$6:$C$605,"Chico")&gt;0,N($E103)&lt;=$B$5),"C ","")&amp;IF(AND(SUMIFS(Compras!$D$6:$D$605,Compras!$B$6:$B$605,$A103,Compras!$C$6:$C$605,"Mediano")&gt;0,N($F103)&lt;=$B$5),"M ","")&amp;IF(AND(SUMIFS(Compras!$D$6:$D$605,Compras!$B$6:$B$605,$A103,Compras!$C$6:$C$605,"Grande")&gt;0,N($G103)&lt;=$B$5),"G","")="","","Reponer "&amp;IF(AND(SUMIFS(Compras!$D$6:$D$605,Compras!$B$6:$B$605,$A103,Compras!$C$6:$C$605,"Chico")&gt;0,N($E103)&lt;=$B$5),"C ","")&amp;IF(AND(SUMIFS(Compras!$D$6:$D$605,Compras!$B$6:$B$605,$A103,Compras!$C$6:$C$605,"Mediano")&gt;0,N($F103)&lt;=$B$5),"M ","")&amp;IF(AND(SUMIFS(Compras!$D$6:$D$605,Compras!$B$6:$B$605,$A103,Compras!$C$6:$C$605,"Grande")&gt;0,N($G103)&lt;=$B$5),"G","")),IF(N($H103)&lt;=$B$5,"REPONER",""))))</f>
        <v/>
      </c>
      <c r="J103" s="69" t="str">
        <f aca="false">IF($A103="","",SUMIFS(Ventas!$D$6:$D$605,Ventas!$B$6:$B$605,$A103))</f>
        <v/>
      </c>
      <c r="K103" s="45" t="str">
        <f aca="false">IF($A103="","",SUMIFS(Ventas!$F$6:$F$605,Ventas!$B$6:$B$605,$A103))</f>
        <v/>
      </c>
    </row>
    <row r="104" customFormat="false" ht="15.75" hidden="false" customHeight="true" outlineLevel="0" collapsed="false">
      <c r="A104" s="68" t="str">
        <f aca="false">IF(Costos!$A118="","",Costos!$A118)</f>
        <v/>
      </c>
      <c r="B104" s="68" t="str">
        <f aca="false">IF(Costos!$A118="","",Costos!$B118&amp;"")</f>
        <v/>
      </c>
      <c r="C104" s="68" t="str">
        <f aca="false">IF(Costos!$A118="","",Costos!$C118&amp;"")</f>
        <v/>
      </c>
      <c r="D104" s="69" t="str">
        <f aca="false">IF($A104="","",SUMIFS(Compras!$D$6:$D$605,Compras!$B$6:$B$605,$A104,Compras!$C$6:$C$605,"Único")-SUMIFS(Ventas!$D$6:$D$605,Ventas!$B$6:$B$605,$A104,Ventas!$C$6:$C$605,"Único"))</f>
        <v/>
      </c>
      <c r="E104" s="69" t="str">
        <f aca="false">IF($A104="","",IF(LEFT($C104,6)="Anillo",SUMIFS(Compras!$D$6:$D$605,Compras!$B$6:$B$605,$A104,Compras!$C$6:$C$605,"Chico")-SUMIFS(Ventas!$D$6:$D$605,Ventas!$B$6:$B$605,$A104,Ventas!$C$6:$C$605,"Chico"),""))</f>
        <v/>
      </c>
      <c r="F104" s="69" t="str">
        <f aca="false">IF($A104="","",IF(LEFT($C104,6)="Anillo",SUMIFS(Compras!$D$6:$D$605,Compras!$B$6:$B$605,$A104,Compras!$C$6:$C$605,"Mediano")-SUMIFS(Ventas!$D$6:$D$605,Ventas!$B$6:$B$605,$A104,Ventas!$C$6:$C$605,"Mediano"),""))</f>
        <v/>
      </c>
      <c r="G104" s="69" t="str">
        <f aca="false">IF($A104="","",IF(LEFT($C104,6)="Anillo",SUMIFS(Compras!$D$6:$D$605,Compras!$B$6:$B$605,$A104,Compras!$C$6:$C$605,"Grande")-SUMIFS(Ventas!$D$6:$D$605,Ventas!$B$6:$B$605,$A104,Ventas!$C$6:$C$605,"Grande"),""))</f>
        <v/>
      </c>
      <c r="H104" s="69" t="str">
        <f aca="false">IF($A104="","",N($D104)+N($E104)+N($F104)+N($G104))</f>
        <v/>
      </c>
      <c r="I104" s="70" t="str">
        <f aca="false">IF($A104="","",IF(N($H104)&lt;=0,"SIN STOCK",IF(LEFT($C104,6)="Anillo",IF(IF(AND(SUMIFS(Compras!$D$6:$D$605,Compras!$B$6:$B$605,$A104,Compras!$C$6:$C$605,"Chico")&gt;0,N($E104)&lt;=$B$5),"C ","")&amp;IF(AND(SUMIFS(Compras!$D$6:$D$605,Compras!$B$6:$B$605,$A104,Compras!$C$6:$C$605,"Mediano")&gt;0,N($F104)&lt;=$B$5),"M ","")&amp;IF(AND(SUMIFS(Compras!$D$6:$D$605,Compras!$B$6:$B$605,$A104,Compras!$C$6:$C$605,"Grande")&gt;0,N($G104)&lt;=$B$5),"G","")="","","Reponer "&amp;IF(AND(SUMIFS(Compras!$D$6:$D$605,Compras!$B$6:$B$605,$A104,Compras!$C$6:$C$605,"Chico")&gt;0,N($E104)&lt;=$B$5),"C ","")&amp;IF(AND(SUMIFS(Compras!$D$6:$D$605,Compras!$B$6:$B$605,$A104,Compras!$C$6:$C$605,"Mediano")&gt;0,N($F104)&lt;=$B$5),"M ","")&amp;IF(AND(SUMIFS(Compras!$D$6:$D$605,Compras!$B$6:$B$605,$A104,Compras!$C$6:$C$605,"Grande")&gt;0,N($G104)&lt;=$B$5),"G","")),IF(N($H104)&lt;=$B$5,"REPONER",""))))</f>
        <v/>
      </c>
      <c r="J104" s="69" t="str">
        <f aca="false">IF($A104="","",SUMIFS(Ventas!$D$6:$D$605,Ventas!$B$6:$B$605,$A104))</f>
        <v/>
      </c>
      <c r="K104" s="45" t="str">
        <f aca="false">IF($A104="","",SUMIFS(Ventas!$F$6:$F$605,Ventas!$B$6:$B$605,$A104))</f>
        <v/>
      </c>
    </row>
    <row r="105" customFormat="false" ht="15.75" hidden="false" customHeight="true" outlineLevel="0" collapsed="false">
      <c r="A105" s="68" t="str">
        <f aca="false">IF(Costos!$A119="","",Costos!$A119)</f>
        <v>Aros Rosella Plateados</v>
      </c>
      <c r="B105" s="68" t="str">
        <f aca="false">IF(Costos!$A119="","",Costos!$B119&amp;"")</f>
        <v>Acero inoxidable</v>
      </c>
      <c r="C105" s="68" t="str">
        <f aca="false">IF(Costos!$A119="","",Costos!$C119&amp;"")</f>
        <v>Aros</v>
      </c>
      <c r="D105" s="69" t="n">
        <f aca="false">IF($A105="","",SUMIFS(Compras!$D$6:$D$605,Compras!$B$6:$B$605,$A105,Compras!$C$6:$C$605,"Único")-SUMIFS(Ventas!$D$6:$D$605,Ventas!$B$6:$B$605,$A105,Ventas!$C$6:$C$605,"Único"))</f>
        <v>1</v>
      </c>
      <c r="E105" s="69" t="str">
        <f aca="false">IF($A105="","",IF(LEFT($C105,6)="Anillo",SUMIFS(Compras!$D$6:$D$605,Compras!$B$6:$B$605,$A105,Compras!$C$6:$C$605,"Chico")-SUMIFS(Ventas!$D$6:$D$605,Ventas!$B$6:$B$605,$A105,Ventas!$C$6:$C$605,"Chico"),""))</f>
        <v/>
      </c>
      <c r="F105" s="69" t="str">
        <f aca="false">IF($A105="","",IF(LEFT($C105,6)="Anillo",SUMIFS(Compras!$D$6:$D$605,Compras!$B$6:$B$605,$A105,Compras!$C$6:$C$605,"Mediano")-SUMIFS(Ventas!$D$6:$D$605,Ventas!$B$6:$B$605,$A105,Ventas!$C$6:$C$605,"Mediano"),""))</f>
        <v/>
      </c>
      <c r="G105" s="69" t="str">
        <f aca="false">IF($A105="","",IF(LEFT($C105,6)="Anillo",SUMIFS(Compras!$D$6:$D$605,Compras!$B$6:$B$605,$A105,Compras!$C$6:$C$605,"Grande")-SUMIFS(Ventas!$D$6:$D$605,Ventas!$B$6:$B$605,$A105,Ventas!$C$6:$C$605,"Grande"),""))</f>
        <v/>
      </c>
      <c r="H105" s="69" t="n">
        <f aca="false">IF($A105="","",N($D105)+N($E105)+N($F105)+N($G105))</f>
        <v>1</v>
      </c>
      <c r="I105" s="70" t="str">
        <f aca="false">IF($A105="","",IF(N($H105)&lt;=0,"SIN STOCK",IF(LEFT($C105,6)="Anillo",IF(IF(AND(SUMIFS(Compras!$D$6:$D$605,Compras!$B$6:$B$605,$A105,Compras!$C$6:$C$605,"Chico")&gt;0,N($E105)&lt;=$B$5),"C ","")&amp;IF(AND(SUMIFS(Compras!$D$6:$D$605,Compras!$B$6:$B$605,$A105,Compras!$C$6:$C$605,"Mediano")&gt;0,N($F105)&lt;=$B$5),"M ","")&amp;IF(AND(SUMIFS(Compras!$D$6:$D$605,Compras!$B$6:$B$605,$A105,Compras!$C$6:$C$605,"Grande")&gt;0,N($G105)&lt;=$B$5),"G","")="","","Reponer "&amp;IF(AND(SUMIFS(Compras!$D$6:$D$605,Compras!$B$6:$B$605,$A105,Compras!$C$6:$C$605,"Chico")&gt;0,N($E105)&lt;=$B$5),"C ","")&amp;IF(AND(SUMIFS(Compras!$D$6:$D$605,Compras!$B$6:$B$605,$A105,Compras!$C$6:$C$605,"Mediano")&gt;0,N($F105)&lt;=$B$5),"M ","")&amp;IF(AND(SUMIFS(Compras!$D$6:$D$605,Compras!$B$6:$B$605,$A105,Compras!$C$6:$C$605,"Grande")&gt;0,N($G105)&lt;=$B$5),"G","")),IF(N($H105)&lt;=$B$5,"REPONER",""))))</f>
        <v>REPONER</v>
      </c>
      <c r="J105" s="69" t="n">
        <f aca="false">IF($A105="","",SUMIFS(Ventas!$D$6:$D$605,Ventas!$B$6:$B$605,$A105))</f>
        <v>0</v>
      </c>
      <c r="K105" s="45" t="n">
        <f aca="false">IF($A105="","",SUMIFS(Ventas!$F$6:$F$605,Ventas!$B$6:$B$605,$A105))</f>
        <v>0</v>
      </c>
    </row>
    <row r="106" customFormat="false" ht="15.75" hidden="false" customHeight="true" outlineLevel="0" collapsed="false">
      <c r="A106" s="68" t="str">
        <f aca="false">IF(Costos!$A120="","",Costos!$A120)</f>
        <v>Aros  </v>
      </c>
      <c r="B106" s="68" t="str">
        <f aca="false">IF(Costos!$A120="","",Costos!$B120&amp;"")</f>
        <v>Acero inoxidable</v>
      </c>
      <c r="C106" s="68" t="str">
        <f aca="false">IF(Costos!$A120="","",Costos!$C120&amp;"")</f>
        <v>Aros</v>
      </c>
      <c r="D106" s="69" t="n">
        <f aca="false">IF($A106="","",SUMIFS(Compras!$D$6:$D$605,Compras!$B$6:$B$605,$A106,Compras!$C$6:$C$605,"Único")-SUMIFS(Ventas!$D$6:$D$605,Ventas!$B$6:$B$605,$A106,Ventas!$C$6:$C$605,"Único"))</f>
        <v>0</v>
      </c>
      <c r="E106" s="69" t="str">
        <f aca="false">IF($A106="","",IF(LEFT($C106,6)="Anillo",SUMIFS(Compras!$D$6:$D$605,Compras!$B$6:$B$605,$A106,Compras!$C$6:$C$605,"Chico")-SUMIFS(Ventas!$D$6:$D$605,Ventas!$B$6:$B$605,$A106,Ventas!$C$6:$C$605,"Chico"),""))</f>
        <v/>
      </c>
      <c r="F106" s="69" t="str">
        <f aca="false">IF($A106="","",IF(LEFT($C106,6)="Anillo",SUMIFS(Compras!$D$6:$D$605,Compras!$B$6:$B$605,$A106,Compras!$C$6:$C$605,"Mediano")-SUMIFS(Ventas!$D$6:$D$605,Ventas!$B$6:$B$605,$A106,Ventas!$C$6:$C$605,"Mediano"),""))</f>
        <v/>
      </c>
      <c r="G106" s="69" t="str">
        <f aca="false">IF($A106="","",IF(LEFT($C106,6)="Anillo",SUMIFS(Compras!$D$6:$D$605,Compras!$B$6:$B$605,$A106,Compras!$C$6:$C$605,"Grande")-SUMIFS(Ventas!$D$6:$D$605,Ventas!$B$6:$B$605,$A106,Ventas!$C$6:$C$605,"Grande"),""))</f>
        <v/>
      </c>
      <c r="H106" s="69" t="n">
        <f aca="false">IF($A106="","",N($D106)+N($E106)+N($F106)+N($G106))</f>
        <v>0</v>
      </c>
      <c r="I106" s="70" t="str">
        <f aca="false">IF($A106="","",IF(N($H106)&lt;=0,"SIN STOCK",IF(LEFT($C106,6)="Anillo",IF(IF(AND(SUMIFS(Compras!$D$6:$D$605,Compras!$B$6:$B$605,$A106,Compras!$C$6:$C$605,"Chico")&gt;0,N($E106)&lt;=$B$5),"C ","")&amp;IF(AND(SUMIFS(Compras!$D$6:$D$605,Compras!$B$6:$B$605,$A106,Compras!$C$6:$C$605,"Mediano")&gt;0,N($F106)&lt;=$B$5),"M ","")&amp;IF(AND(SUMIFS(Compras!$D$6:$D$605,Compras!$B$6:$B$605,$A106,Compras!$C$6:$C$605,"Grande")&gt;0,N($G106)&lt;=$B$5),"G","")="","","Reponer "&amp;IF(AND(SUMIFS(Compras!$D$6:$D$605,Compras!$B$6:$B$605,$A106,Compras!$C$6:$C$605,"Chico")&gt;0,N($E106)&lt;=$B$5),"C ","")&amp;IF(AND(SUMIFS(Compras!$D$6:$D$605,Compras!$B$6:$B$605,$A106,Compras!$C$6:$C$605,"Mediano")&gt;0,N($F106)&lt;=$B$5),"M ","")&amp;IF(AND(SUMIFS(Compras!$D$6:$D$605,Compras!$B$6:$B$605,$A106,Compras!$C$6:$C$605,"Grande")&gt;0,N($G106)&lt;=$B$5),"G","")),IF(N($H106)&lt;=$B$5,"REPONER",""))))</f>
        <v>SIN STOCK</v>
      </c>
      <c r="J106" s="69" t="n">
        <f aca="false">IF($A106="","",SUMIFS(Ventas!$D$6:$D$605,Ventas!$B$6:$B$605,$A106))</f>
        <v>0</v>
      </c>
      <c r="K106" s="45" t="n">
        <f aca="false">IF($A106="","",SUMIFS(Ventas!$F$6:$F$605,Ventas!$B$6:$B$605,$A106))</f>
        <v>0</v>
      </c>
    </row>
    <row r="107" customFormat="false" ht="15.75" hidden="false" customHeight="true" outlineLevel="0" collapsed="false">
      <c r="A107" s="68" t="str">
        <f aca="false">IF(Costos!$A121="","",Costos!$A121)</f>
        <v>Aros Capri Vino</v>
      </c>
      <c r="B107" s="68" t="str">
        <f aca="false">IF(Costos!$A121="","",Costos!$B121&amp;"")</f>
        <v>Acero dorado</v>
      </c>
      <c r="C107" s="68" t="str">
        <f aca="false">IF(Costos!$A121="","",Costos!$C121&amp;"")</f>
        <v>Aros</v>
      </c>
      <c r="D107" s="69" t="n">
        <f aca="false">IF($A107="","",SUMIFS(Compras!$D$6:$D$605,Compras!$B$6:$B$605,$A107,Compras!$C$6:$C$605,"Único")-SUMIFS(Ventas!$D$6:$D$605,Ventas!$B$6:$B$605,$A107,Ventas!$C$6:$C$605,"Único"))</f>
        <v>1</v>
      </c>
      <c r="E107" s="69" t="str">
        <f aca="false">IF($A107="","",IF(LEFT($C107,6)="Anillo",SUMIFS(Compras!$D$6:$D$605,Compras!$B$6:$B$605,$A107,Compras!$C$6:$C$605,"Chico")-SUMIFS(Ventas!$D$6:$D$605,Ventas!$B$6:$B$605,$A107,Ventas!$C$6:$C$605,"Chico"),""))</f>
        <v/>
      </c>
      <c r="F107" s="69" t="str">
        <f aca="false">IF($A107="","",IF(LEFT($C107,6)="Anillo",SUMIFS(Compras!$D$6:$D$605,Compras!$B$6:$B$605,$A107,Compras!$C$6:$C$605,"Mediano")-SUMIFS(Ventas!$D$6:$D$605,Ventas!$B$6:$B$605,$A107,Ventas!$C$6:$C$605,"Mediano"),""))</f>
        <v/>
      </c>
      <c r="G107" s="69" t="str">
        <f aca="false">IF($A107="","",IF(LEFT($C107,6)="Anillo",SUMIFS(Compras!$D$6:$D$605,Compras!$B$6:$B$605,$A107,Compras!$C$6:$C$605,"Grande")-SUMIFS(Ventas!$D$6:$D$605,Ventas!$B$6:$B$605,$A107,Ventas!$C$6:$C$605,"Grande"),""))</f>
        <v/>
      </c>
      <c r="H107" s="69" t="n">
        <f aca="false">IF($A107="","",N($D107)+N($E107)+N($F107)+N($G107))</f>
        <v>1</v>
      </c>
      <c r="I107" s="70" t="str">
        <f aca="false">IF($A107="","",IF(N($H107)&lt;=0,"SIN STOCK",IF(LEFT($C107,6)="Anillo",IF(IF(AND(SUMIFS(Compras!$D$6:$D$605,Compras!$B$6:$B$605,$A107,Compras!$C$6:$C$605,"Chico")&gt;0,N($E107)&lt;=$B$5),"C ","")&amp;IF(AND(SUMIFS(Compras!$D$6:$D$605,Compras!$B$6:$B$605,$A107,Compras!$C$6:$C$605,"Mediano")&gt;0,N($F107)&lt;=$B$5),"M ","")&amp;IF(AND(SUMIFS(Compras!$D$6:$D$605,Compras!$B$6:$B$605,$A107,Compras!$C$6:$C$605,"Grande")&gt;0,N($G107)&lt;=$B$5),"G","")="","","Reponer "&amp;IF(AND(SUMIFS(Compras!$D$6:$D$605,Compras!$B$6:$B$605,$A107,Compras!$C$6:$C$605,"Chico")&gt;0,N($E107)&lt;=$B$5),"C ","")&amp;IF(AND(SUMIFS(Compras!$D$6:$D$605,Compras!$B$6:$B$605,$A107,Compras!$C$6:$C$605,"Mediano")&gt;0,N($F107)&lt;=$B$5),"M ","")&amp;IF(AND(SUMIFS(Compras!$D$6:$D$605,Compras!$B$6:$B$605,$A107,Compras!$C$6:$C$605,"Grande")&gt;0,N($G107)&lt;=$B$5),"G","")),IF(N($H107)&lt;=$B$5,"REPONER",""))))</f>
        <v>REPONER</v>
      </c>
      <c r="J107" s="69" t="n">
        <f aca="false">IF($A107="","",SUMIFS(Ventas!$D$6:$D$605,Ventas!$B$6:$B$605,$A107))</f>
        <v>0</v>
      </c>
      <c r="K107" s="45" t="n">
        <f aca="false">IF($A107="","",SUMIFS(Ventas!$F$6:$F$605,Ventas!$B$6:$B$605,$A107))</f>
        <v>0</v>
      </c>
    </row>
    <row r="108" customFormat="false" ht="15.75" hidden="false" customHeight="true" outlineLevel="0" collapsed="false">
      <c r="A108" s="68" t="str">
        <f aca="false">IF(Costos!$A122="","",Costos!$A122)</f>
        <v>Aros Capri Rosa</v>
      </c>
      <c r="B108" s="68" t="str">
        <f aca="false">IF(Costos!$A122="","",Costos!$B122&amp;"")</f>
        <v>Acero dorado</v>
      </c>
      <c r="C108" s="68" t="str">
        <f aca="false">IF(Costos!$A122="","",Costos!$C122&amp;"")</f>
        <v>Aros</v>
      </c>
      <c r="D108" s="69" t="n">
        <f aca="false">IF($A108="","",SUMIFS(Compras!$D$6:$D$605,Compras!$B$6:$B$605,$A108,Compras!$C$6:$C$605,"Único")-SUMIFS(Ventas!$D$6:$D$605,Ventas!$B$6:$B$605,$A108,Ventas!$C$6:$C$605,"Único"))</f>
        <v>1</v>
      </c>
      <c r="E108" s="69" t="str">
        <f aca="false">IF($A108="","",IF(LEFT($C108,6)="Anillo",SUMIFS(Compras!$D$6:$D$605,Compras!$B$6:$B$605,$A108,Compras!$C$6:$C$605,"Chico")-SUMIFS(Ventas!$D$6:$D$605,Ventas!$B$6:$B$605,$A108,Ventas!$C$6:$C$605,"Chico"),""))</f>
        <v/>
      </c>
      <c r="F108" s="69" t="str">
        <f aca="false">IF($A108="","",IF(LEFT($C108,6)="Anillo",SUMIFS(Compras!$D$6:$D$605,Compras!$B$6:$B$605,$A108,Compras!$C$6:$C$605,"Mediano")-SUMIFS(Ventas!$D$6:$D$605,Ventas!$B$6:$B$605,$A108,Ventas!$C$6:$C$605,"Mediano"),""))</f>
        <v/>
      </c>
      <c r="G108" s="69" t="str">
        <f aca="false">IF($A108="","",IF(LEFT($C108,6)="Anillo",SUMIFS(Compras!$D$6:$D$605,Compras!$B$6:$B$605,$A108,Compras!$C$6:$C$605,"Grande")-SUMIFS(Ventas!$D$6:$D$605,Ventas!$B$6:$B$605,$A108,Ventas!$C$6:$C$605,"Grande"),""))</f>
        <v/>
      </c>
      <c r="H108" s="69" t="n">
        <f aca="false">IF($A108="","",N($D108)+N($E108)+N($F108)+N($G108))</f>
        <v>1</v>
      </c>
      <c r="I108" s="70" t="str">
        <f aca="false">IF($A108="","",IF(N($H108)&lt;=0,"SIN STOCK",IF(LEFT($C108,6)="Anillo",IF(IF(AND(SUMIFS(Compras!$D$6:$D$605,Compras!$B$6:$B$605,$A108,Compras!$C$6:$C$605,"Chico")&gt;0,N($E108)&lt;=$B$5),"C ","")&amp;IF(AND(SUMIFS(Compras!$D$6:$D$605,Compras!$B$6:$B$605,$A108,Compras!$C$6:$C$605,"Mediano")&gt;0,N($F108)&lt;=$B$5),"M ","")&amp;IF(AND(SUMIFS(Compras!$D$6:$D$605,Compras!$B$6:$B$605,$A108,Compras!$C$6:$C$605,"Grande")&gt;0,N($G108)&lt;=$B$5),"G","")="","","Reponer "&amp;IF(AND(SUMIFS(Compras!$D$6:$D$605,Compras!$B$6:$B$605,$A108,Compras!$C$6:$C$605,"Chico")&gt;0,N($E108)&lt;=$B$5),"C ","")&amp;IF(AND(SUMIFS(Compras!$D$6:$D$605,Compras!$B$6:$B$605,$A108,Compras!$C$6:$C$605,"Mediano")&gt;0,N($F108)&lt;=$B$5),"M ","")&amp;IF(AND(SUMIFS(Compras!$D$6:$D$605,Compras!$B$6:$B$605,$A108,Compras!$C$6:$C$605,"Grande")&gt;0,N($G108)&lt;=$B$5),"G","")),IF(N($H108)&lt;=$B$5,"REPONER",""))))</f>
        <v>REPONER</v>
      </c>
      <c r="J108" s="69" t="n">
        <f aca="false">IF($A108="","",SUMIFS(Ventas!$D$6:$D$605,Ventas!$B$6:$B$605,$A108))</f>
        <v>0</v>
      </c>
      <c r="K108" s="45" t="n">
        <f aca="false">IF($A108="","",SUMIFS(Ventas!$F$6:$F$605,Ventas!$B$6:$B$605,$A108))</f>
        <v>0</v>
      </c>
    </row>
    <row r="109" customFormat="false" ht="15.75" hidden="false" customHeight="true" outlineLevel="0" collapsed="false">
      <c r="A109" s="68" t="str">
        <f aca="false">IF(Costos!$A123="","",Costos!$A123)</f>
        <v>Aros Capri Verde</v>
      </c>
      <c r="B109" s="68" t="str">
        <f aca="false">IF(Costos!$A123="","",Costos!$B123&amp;"")</f>
        <v>Acero dorado</v>
      </c>
      <c r="C109" s="68" t="str">
        <f aca="false">IF(Costos!$A123="","",Costos!$C123&amp;"")</f>
        <v>Aros</v>
      </c>
      <c r="D109" s="69" t="n">
        <f aca="false">IF($A109="","",SUMIFS(Compras!$D$6:$D$605,Compras!$B$6:$B$605,$A109,Compras!$C$6:$C$605,"Único")-SUMIFS(Ventas!$D$6:$D$605,Ventas!$B$6:$B$605,$A109,Ventas!$C$6:$C$605,"Único"))</f>
        <v>1</v>
      </c>
      <c r="E109" s="69" t="str">
        <f aca="false">IF($A109="","",IF(LEFT($C109,6)="Anillo",SUMIFS(Compras!$D$6:$D$605,Compras!$B$6:$B$605,$A109,Compras!$C$6:$C$605,"Chico")-SUMIFS(Ventas!$D$6:$D$605,Ventas!$B$6:$B$605,$A109,Ventas!$C$6:$C$605,"Chico"),""))</f>
        <v/>
      </c>
      <c r="F109" s="69" t="str">
        <f aca="false">IF($A109="","",IF(LEFT($C109,6)="Anillo",SUMIFS(Compras!$D$6:$D$605,Compras!$B$6:$B$605,$A109,Compras!$C$6:$C$605,"Mediano")-SUMIFS(Ventas!$D$6:$D$605,Ventas!$B$6:$B$605,$A109,Ventas!$C$6:$C$605,"Mediano"),""))</f>
        <v/>
      </c>
      <c r="G109" s="69" t="str">
        <f aca="false">IF($A109="","",IF(LEFT($C109,6)="Anillo",SUMIFS(Compras!$D$6:$D$605,Compras!$B$6:$B$605,$A109,Compras!$C$6:$C$605,"Grande")-SUMIFS(Ventas!$D$6:$D$605,Ventas!$B$6:$B$605,$A109,Ventas!$C$6:$C$605,"Grande"),""))</f>
        <v/>
      </c>
      <c r="H109" s="69" t="n">
        <f aca="false">IF($A109="","",N($D109)+N($E109)+N($F109)+N($G109))</f>
        <v>1</v>
      </c>
      <c r="I109" s="70" t="str">
        <f aca="false">IF($A109="","",IF(N($H109)&lt;=0,"SIN STOCK",IF(LEFT($C109,6)="Anillo",IF(IF(AND(SUMIFS(Compras!$D$6:$D$605,Compras!$B$6:$B$605,$A109,Compras!$C$6:$C$605,"Chico")&gt;0,N($E109)&lt;=$B$5),"C ","")&amp;IF(AND(SUMIFS(Compras!$D$6:$D$605,Compras!$B$6:$B$605,$A109,Compras!$C$6:$C$605,"Mediano")&gt;0,N($F109)&lt;=$B$5),"M ","")&amp;IF(AND(SUMIFS(Compras!$D$6:$D$605,Compras!$B$6:$B$605,$A109,Compras!$C$6:$C$605,"Grande")&gt;0,N($G109)&lt;=$B$5),"G","")="","","Reponer "&amp;IF(AND(SUMIFS(Compras!$D$6:$D$605,Compras!$B$6:$B$605,$A109,Compras!$C$6:$C$605,"Chico")&gt;0,N($E109)&lt;=$B$5),"C ","")&amp;IF(AND(SUMIFS(Compras!$D$6:$D$605,Compras!$B$6:$B$605,$A109,Compras!$C$6:$C$605,"Mediano")&gt;0,N($F109)&lt;=$B$5),"M ","")&amp;IF(AND(SUMIFS(Compras!$D$6:$D$605,Compras!$B$6:$B$605,$A109,Compras!$C$6:$C$605,"Grande")&gt;0,N($G109)&lt;=$B$5),"G","")),IF(N($H109)&lt;=$B$5,"REPONER",""))))</f>
        <v>REPONER</v>
      </c>
      <c r="J109" s="69" t="n">
        <f aca="false">IF($A109="","",SUMIFS(Ventas!$D$6:$D$605,Ventas!$B$6:$B$605,$A109))</f>
        <v>0</v>
      </c>
      <c r="K109" s="45" t="n">
        <f aca="false">IF($A109="","",SUMIFS(Ventas!$F$6:$F$605,Ventas!$B$6:$B$605,$A109))</f>
        <v>0</v>
      </c>
    </row>
    <row r="110" customFormat="false" ht="15.75" hidden="false" customHeight="true" outlineLevel="0" collapsed="false">
      <c r="A110" s="68" t="str">
        <f aca="false">IF(Costos!$A124="","",Costos!$A124)</f>
        <v>Aros Capri Blanco</v>
      </c>
      <c r="B110" s="68" t="str">
        <f aca="false">IF(Costos!$A124="","",Costos!$B124&amp;"")</f>
        <v>Acero dorado</v>
      </c>
      <c r="C110" s="68" t="str">
        <f aca="false">IF(Costos!$A124="","",Costos!$C124&amp;"")</f>
        <v>Aros</v>
      </c>
      <c r="D110" s="69" t="n">
        <f aca="false">IF($A110="","",SUMIFS(Compras!$D$6:$D$605,Compras!$B$6:$B$605,$A110,Compras!$C$6:$C$605,"Único")-SUMIFS(Ventas!$D$6:$D$605,Ventas!$B$6:$B$605,$A110,Ventas!$C$6:$C$605,"Único"))</f>
        <v>1</v>
      </c>
      <c r="E110" s="69" t="str">
        <f aca="false">IF($A110="","",IF(LEFT($C110,6)="Anillo",SUMIFS(Compras!$D$6:$D$605,Compras!$B$6:$B$605,$A110,Compras!$C$6:$C$605,"Chico")-SUMIFS(Ventas!$D$6:$D$605,Ventas!$B$6:$B$605,$A110,Ventas!$C$6:$C$605,"Chico"),""))</f>
        <v/>
      </c>
      <c r="F110" s="69" t="str">
        <f aca="false">IF($A110="","",IF(LEFT($C110,6)="Anillo",SUMIFS(Compras!$D$6:$D$605,Compras!$B$6:$B$605,$A110,Compras!$C$6:$C$605,"Mediano")-SUMIFS(Ventas!$D$6:$D$605,Ventas!$B$6:$B$605,$A110,Ventas!$C$6:$C$605,"Mediano"),""))</f>
        <v/>
      </c>
      <c r="G110" s="69" t="str">
        <f aca="false">IF($A110="","",IF(LEFT($C110,6)="Anillo",SUMIFS(Compras!$D$6:$D$605,Compras!$B$6:$B$605,$A110,Compras!$C$6:$C$605,"Grande")-SUMIFS(Ventas!$D$6:$D$605,Ventas!$B$6:$B$605,$A110,Ventas!$C$6:$C$605,"Grande"),""))</f>
        <v/>
      </c>
      <c r="H110" s="69" t="n">
        <f aca="false">IF($A110="","",N($D110)+N($E110)+N($F110)+N($G110))</f>
        <v>1</v>
      </c>
      <c r="I110" s="70" t="str">
        <f aca="false">IF($A110="","",IF(N($H110)&lt;=0,"SIN STOCK",IF(LEFT($C110,6)="Anillo",IF(IF(AND(SUMIFS(Compras!$D$6:$D$605,Compras!$B$6:$B$605,$A110,Compras!$C$6:$C$605,"Chico")&gt;0,N($E110)&lt;=$B$5),"C ","")&amp;IF(AND(SUMIFS(Compras!$D$6:$D$605,Compras!$B$6:$B$605,$A110,Compras!$C$6:$C$605,"Mediano")&gt;0,N($F110)&lt;=$B$5),"M ","")&amp;IF(AND(SUMIFS(Compras!$D$6:$D$605,Compras!$B$6:$B$605,$A110,Compras!$C$6:$C$605,"Grande")&gt;0,N($G110)&lt;=$B$5),"G","")="","","Reponer "&amp;IF(AND(SUMIFS(Compras!$D$6:$D$605,Compras!$B$6:$B$605,$A110,Compras!$C$6:$C$605,"Chico")&gt;0,N($E110)&lt;=$B$5),"C ","")&amp;IF(AND(SUMIFS(Compras!$D$6:$D$605,Compras!$B$6:$B$605,$A110,Compras!$C$6:$C$605,"Mediano")&gt;0,N($F110)&lt;=$B$5),"M ","")&amp;IF(AND(SUMIFS(Compras!$D$6:$D$605,Compras!$B$6:$B$605,$A110,Compras!$C$6:$C$605,"Grande")&gt;0,N($G110)&lt;=$B$5),"G","")),IF(N($H110)&lt;=$B$5,"REPONER",""))))</f>
        <v>REPONER</v>
      </c>
      <c r="J110" s="69" t="n">
        <f aca="false">IF($A110="","",SUMIFS(Ventas!$D$6:$D$605,Ventas!$B$6:$B$605,$A110))</f>
        <v>0</v>
      </c>
      <c r="K110" s="45" t="n">
        <f aca="false">IF($A110="","",SUMIFS(Ventas!$F$6:$F$605,Ventas!$B$6:$B$605,$A110))</f>
        <v>0</v>
      </c>
    </row>
    <row r="111" customFormat="false" ht="15.75" hidden="false" customHeight="true" outlineLevel="0" collapsed="false">
      <c r="A111" s="68" t="str">
        <f aca="false">IF(Costos!$A125="","",Costos!$A125)</f>
        <v>Aros Cuore</v>
      </c>
      <c r="B111" s="68" t="str">
        <f aca="false">IF(Costos!$A125="","",Costos!$B125&amp;"")</f>
        <v>Acero dorado</v>
      </c>
      <c r="C111" s="68" t="str">
        <f aca="false">IF(Costos!$A125="","",Costos!$C125&amp;"")</f>
        <v>Aros</v>
      </c>
      <c r="D111" s="69" t="n">
        <f aca="false">IF($A111="","",SUMIFS(Compras!$D$6:$D$605,Compras!$B$6:$B$605,$A111,Compras!$C$6:$C$605,"Único")-SUMIFS(Ventas!$D$6:$D$605,Ventas!$B$6:$B$605,$A111,Ventas!$C$6:$C$605,"Único"))</f>
        <v>2</v>
      </c>
      <c r="E111" s="69" t="str">
        <f aca="false">IF($A111="","",IF(LEFT($C111,6)="Anillo",SUMIFS(Compras!$D$6:$D$605,Compras!$B$6:$B$605,$A111,Compras!$C$6:$C$605,"Chico")-SUMIFS(Ventas!$D$6:$D$605,Ventas!$B$6:$B$605,$A111,Ventas!$C$6:$C$605,"Chico"),""))</f>
        <v/>
      </c>
      <c r="F111" s="69" t="str">
        <f aca="false">IF($A111="","",IF(LEFT($C111,6)="Anillo",SUMIFS(Compras!$D$6:$D$605,Compras!$B$6:$B$605,$A111,Compras!$C$6:$C$605,"Mediano")-SUMIFS(Ventas!$D$6:$D$605,Ventas!$B$6:$B$605,$A111,Ventas!$C$6:$C$605,"Mediano"),""))</f>
        <v/>
      </c>
      <c r="G111" s="69" t="str">
        <f aca="false">IF($A111="","",IF(LEFT($C111,6)="Anillo",SUMIFS(Compras!$D$6:$D$605,Compras!$B$6:$B$605,$A111,Compras!$C$6:$C$605,"Grande")-SUMIFS(Ventas!$D$6:$D$605,Ventas!$B$6:$B$605,$A111,Ventas!$C$6:$C$605,"Grande"),""))</f>
        <v/>
      </c>
      <c r="H111" s="69" t="n">
        <f aca="false">IF($A111="","",N($D111)+N($E111)+N($F111)+N($G111))</f>
        <v>2</v>
      </c>
      <c r="I111" s="70" t="str">
        <f aca="false">IF($A111="","",IF(N($H111)&lt;=0,"SIN STOCK",IF(LEFT($C111,6)="Anillo",IF(IF(AND(SUMIFS(Compras!$D$6:$D$605,Compras!$B$6:$B$605,$A111,Compras!$C$6:$C$605,"Chico")&gt;0,N($E111)&lt;=$B$5),"C ","")&amp;IF(AND(SUMIFS(Compras!$D$6:$D$605,Compras!$B$6:$B$605,$A111,Compras!$C$6:$C$605,"Mediano")&gt;0,N($F111)&lt;=$B$5),"M ","")&amp;IF(AND(SUMIFS(Compras!$D$6:$D$605,Compras!$B$6:$B$605,$A111,Compras!$C$6:$C$605,"Grande")&gt;0,N($G111)&lt;=$B$5),"G","")="","","Reponer "&amp;IF(AND(SUMIFS(Compras!$D$6:$D$605,Compras!$B$6:$B$605,$A111,Compras!$C$6:$C$605,"Chico")&gt;0,N($E111)&lt;=$B$5),"C ","")&amp;IF(AND(SUMIFS(Compras!$D$6:$D$605,Compras!$B$6:$B$605,$A111,Compras!$C$6:$C$605,"Mediano")&gt;0,N($F111)&lt;=$B$5),"M ","")&amp;IF(AND(SUMIFS(Compras!$D$6:$D$605,Compras!$B$6:$B$605,$A111,Compras!$C$6:$C$605,"Grande")&gt;0,N($G111)&lt;=$B$5),"G","")),IF(N($H111)&lt;=$B$5,"REPONER",""))))</f>
        <v/>
      </c>
      <c r="J111" s="69" t="n">
        <f aca="false">IF($A111="","",SUMIFS(Ventas!$D$6:$D$605,Ventas!$B$6:$B$605,$A111))</f>
        <v>0</v>
      </c>
      <c r="K111" s="45" t="n">
        <f aca="false">IF($A111="","",SUMIFS(Ventas!$F$6:$F$605,Ventas!$B$6:$B$605,$A111))</f>
        <v>0</v>
      </c>
    </row>
    <row r="112" customFormat="false" ht="15.75" hidden="false" customHeight="true" outlineLevel="0" collapsed="false">
      <c r="A112" s="68" t="str">
        <f aca="false">IF(Costos!$A126="","",Costos!$A126)</f>
        <v>Collar Amour Chunky</v>
      </c>
      <c r="B112" s="68" t="str">
        <f aca="false">IF(Costos!$A126="","",Costos!$B126&amp;"")</f>
        <v>Acero inoxidable</v>
      </c>
      <c r="C112" s="68" t="str">
        <f aca="false">IF(Costos!$A126="","",Costos!$C126&amp;"")</f>
        <v>Collar</v>
      </c>
      <c r="D112" s="69" t="n">
        <f aca="false">IF($A112="","",SUMIFS(Compras!$D$6:$D$605,Compras!$B$6:$B$605,$A112,Compras!$C$6:$C$605,"Único")-SUMIFS(Ventas!$D$6:$D$605,Ventas!$B$6:$B$605,$A112,Ventas!$C$6:$C$605,"Único"))</f>
        <v>1</v>
      </c>
      <c r="E112" s="69" t="str">
        <f aca="false">IF($A112="","",IF(LEFT($C112,6)="Anillo",SUMIFS(Compras!$D$6:$D$605,Compras!$B$6:$B$605,$A112,Compras!$C$6:$C$605,"Chico")-SUMIFS(Ventas!$D$6:$D$605,Ventas!$B$6:$B$605,$A112,Ventas!$C$6:$C$605,"Chico"),""))</f>
        <v/>
      </c>
      <c r="F112" s="69" t="str">
        <f aca="false">IF($A112="","",IF(LEFT($C112,6)="Anillo",SUMIFS(Compras!$D$6:$D$605,Compras!$B$6:$B$605,$A112,Compras!$C$6:$C$605,"Mediano")-SUMIFS(Ventas!$D$6:$D$605,Ventas!$B$6:$B$605,$A112,Ventas!$C$6:$C$605,"Mediano"),""))</f>
        <v/>
      </c>
      <c r="G112" s="69" t="str">
        <f aca="false">IF($A112="","",IF(LEFT($C112,6)="Anillo",SUMIFS(Compras!$D$6:$D$605,Compras!$B$6:$B$605,$A112,Compras!$C$6:$C$605,"Grande")-SUMIFS(Ventas!$D$6:$D$605,Ventas!$B$6:$B$605,$A112,Ventas!$C$6:$C$605,"Grande"),""))</f>
        <v/>
      </c>
      <c r="H112" s="69" t="n">
        <f aca="false">IF($A112="","",N($D112)+N($E112)+N($F112)+N($G112))</f>
        <v>1</v>
      </c>
      <c r="I112" s="70" t="str">
        <f aca="false">IF($A112="","",IF(N($H112)&lt;=0,"SIN STOCK",IF(LEFT($C112,6)="Anillo",IF(IF(AND(SUMIFS(Compras!$D$6:$D$605,Compras!$B$6:$B$605,$A112,Compras!$C$6:$C$605,"Chico")&gt;0,N($E112)&lt;=$B$5),"C ","")&amp;IF(AND(SUMIFS(Compras!$D$6:$D$605,Compras!$B$6:$B$605,$A112,Compras!$C$6:$C$605,"Mediano")&gt;0,N($F112)&lt;=$B$5),"M ","")&amp;IF(AND(SUMIFS(Compras!$D$6:$D$605,Compras!$B$6:$B$605,$A112,Compras!$C$6:$C$605,"Grande")&gt;0,N($G112)&lt;=$B$5),"G","")="","","Reponer "&amp;IF(AND(SUMIFS(Compras!$D$6:$D$605,Compras!$B$6:$B$605,$A112,Compras!$C$6:$C$605,"Chico")&gt;0,N($E112)&lt;=$B$5),"C ","")&amp;IF(AND(SUMIFS(Compras!$D$6:$D$605,Compras!$B$6:$B$605,$A112,Compras!$C$6:$C$605,"Mediano")&gt;0,N($F112)&lt;=$B$5),"M ","")&amp;IF(AND(SUMIFS(Compras!$D$6:$D$605,Compras!$B$6:$B$605,$A112,Compras!$C$6:$C$605,"Grande")&gt;0,N($G112)&lt;=$B$5),"G","")),IF(N($H112)&lt;=$B$5,"REPONER",""))))</f>
        <v>REPONER</v>
      </c>
      <c r="J112" s="69" t="n">
        <f aca="false">IF($A112="","",SUMIFS(Ventas!$D$6:$D$605,Ventas!$B$6:$B$605,$A112))</f>
        <v>0</v>
      </c>
      <c r="K112" s="45" t="n">
        <f aca="false">IF($A112="","",SUMIFS(Ventas!$F$6:$F$605,Ventas!$B$6:$B$605,$A112))</f>
        <v>0</v>
      </c>
    </row>
    <row r="113" customFormat="false" ht="15.75" hidden="false" customHeight="true" outlineLevel="0" collapsed="false">
      <c r="A113" s="68" t="str">
        <f aca="false">IF(Costos!$A127="","",Costos!$A127)</f>
        <v>Anillo Corazón II Dorado</v>
      </c>
      <c r="B113" s="68" t="str">
        <f aca="false">IF(Costos!$A127="","",Costos!$B127&amp;"")</f>
        <v>Acero dorado</v>
      </c>
      <c r="C113" s="68" t="str">
        <f aca="false">IF(Costos!$A127="","",Costos!$C127&amp;"")</f>
        <v>Anillo</v>
      </c>
      <c r="D113" s="69" t="n">
        <f aca="false">IF($A113="","",SUMIFS(Compras!$D$6:$D$605,Compras!$B$6:$B$605,$A113,Compras!$C$6:$C$605,"Único")-SUMIFS(Ventas!$D$6:$D$605,Ventas!$B$6:$B$605,$A113,Ventas!$C$6:$C$605,"Único"))</f>
        <v>2</v>
      </c>
      <c r="E113" s="69" t="n">
        <f aca="false">IF($A113="","",IF(LEFT($C113,6)="Anillo",SUMIFS(Compras!$D$6:$D$605,Compras!$B$6:$B$605,$A113,Compras!$C$6:$C$605,"Chico")-SUMIFS(Ventas!$D$6:$D$605,Ventas!$B$6:$B$605,$A113,Ventas!$C$6:$C$605,"Chico"),""))</f>
        <v>0</v>
      </c>
      <c r="F113" s="69" t="n">
        <f aca="false">IF($A113="","",IF(LEFT($C113,6)="Anillo",SUMIFS(Compras!$D$6:$D$605,Compras!$B$6:$B$605,$A113,Compras!$C$6:$C$605,"Mediano")-SUMIFS(Ventas!$D$6:$D$605,Ventas!$B$6:$B$605,$A113,Ventas!$C$6:$C$605,"Mediano"),""))</f>
        <v>0</v>
      </c>
      <c r="G113" s="69" t="n">
        <f aca="false">IF($A113="","",IF(LEFT($C113,6)="Anillo",SUMIFS(Compras!$D$6:$D$605,Compras!$B$6:$B$605,$A113,Compras!$C$6:$C$605,"Grande")-SUMIFS(Ventas!$D$6:$D$605,Ventas!$B$6:$B$605,$A113,Ventas!$C$6:$C$605,"Grande"),""))</f>
        <v>0</v>
      </c>
      <c r="H113" s="69" t="n">
        <f aca="false">IF($A113="","",N($D113)+N($E113)+N($F113)+N($G113))</f>
        <v>2</v>
      </c>
      <c r="I113" s="70" t="str">
        <f aca="false">IF($A113="","",IF(N($H113)&lt;=0,"SIN STOCK",IF(LEFT($C113,6)="Anillo",IF(IF(AND(SUMIFS(Compras!$D$6:$D$605,Compras!$B$6:$B$605,$A113,Compras!$C$6:$C$605,"Chico")&gt;0,N($E113)&lt;=$B$5),"C ","")&amp;IF(AND(SUMIFS(Compras!$D$6:$D$605,Compras!$B$6:$B$605,$A113,Compras!$C$6:$C$605,"Mediano")&gt;0,N($F113)&lt;=$B$5),"M ","")&amp;IF(AND(SUMIFS(Compras!$D$6:$D$605,Compras!$B$6:$B$605,$A113,Compras!$C$6:$C$605,"Grande")&gt;0,N($G113)&lt;=$B$5),"G","")="","","Reponer "&amp;IF(AND(SUMIFS(Compras!$D$6:$D$605,Compras!$B$6:$B$605,$A113,Compras!$C$6:$C$605,"Chico")&gt;0,N($E113)&lt;=$B$5),"C ","")&amp;IF(AND(SUMIFS(Compras!$D$6:$D$605,Compras!$B$6:$B$605,$A113,Compras!$C$6:$C$605,"Mediano")&gt;0,N($F113)&lt;=$B$5),"M ","")&amp;IF(AND(SUMIFS(Compras!$D$6:$D$605,Compras!$B$6:$B$605,$A113,Compras!$C$6:$C$605,"Grande")&gt;0,N($G113)&lt;=$B$5),"G","")),IF(N($H113)&lt;=$B$5,"REPONER",""))))</f>
        <v/>
      </c>
      <c r="J113" s="69" t="n">
        <f aca="false">IF($A113="","",SUMIFS(Ventas!$D$6:$D$605,Ventas!$B$6:$B$605,$A113))</f>
        <v>0</v>
      </c>
      <c r="K113" s="45" t="n">
        <f aca="false">IF($A113="","",SUMIFS(Ventas!$F$6:$F$605,Ventas!$B$6:$B$605,$A113))</f>
        <v>0</v>
      </c>
    </row>
    <row r="114" customFormat="false" ht="15.75" hidden="false" customHeight="true" outlineLevel="0" collapsed="false">
      <c r="A114" s="68" t="str">
        <f aca="false">IF(Costos!$A128="","",Costos!$A128)</f>
        <v>Anillo Lia Dorado</v>
      </c>
      <c r="B114" s="68" t="str">
        <f aca="false">IF(Costos!$A128="","",Costos!$B128&amp;"")</f>
        <v>Acero dorado</v>
      </c>
      <c r="C114" s="68" t="str">
        <f aca="false">IF(Costos!$A128="","",Costos!$C128&amp;"")</f>
        <v>Anillo</v>
      </c>
      <c r="D114" s="69" t="n">
        <f aca="false">IF($A114="","",SUMIFS(Compras!$D$6:$D$605,Compras!$B$6:$B$605,$A114,Compras!$C$6:$C$605,"Único")-SUMIFS(Ventas!$D$6:$D$605,Ventas!$B$6:$B$605,$A114,Ventas!$C$6:$C$605,"Único"))</f>
        <v>2</v>
      </c>
      <c r="E114" s="69" t="n">
        <f aca="false">IF($A114="","",IF(LEFT($C114,6)="Anillo",SUMIFS(Compras!$D$6:$D$605,Compras!$B$6:$B$605,$A114,Compras!$C$6:$C$605,"Chico")-SUMIFS(Ventas!$D$6:$D$605,Ventas!$B$6:$B$605,$A114,Ventas!$C$6:$C$605,"Chico"),""))</f>
        <v>0</v>
      </c>
      <c r="F114" s="69" t="n">
        <f aca="false">IF($A114="","",IF(LEFT($C114,6)="Anillo",SUMIFS(Compras!$D$6:$D$605,Compras!$B$6:$B$605,$A114,Compras!$C$6:$C$605,"Mediano")-SUMIFS(Ventas!$D$6:$D$605,Ventas!$B$6:$B$605,$A114,Ventas!$C$6:$C$605,"Mediano"),""))</f>
        <v>0</v>
      </c>
      <c r="G114" s="69" t="n">
        <f aca="false">IF($A114="","",IF(LEFT($C114,6)="Anillo",SUMIFS(Compras!$D$6:$D$605,Compras!$B$6:$B$605,$A114,Compras!$C$6:$C$605,"Grande")-SUMIFS(Ventas!$D$6:$D$605,Ventas!$B$6:$B$605,$A114,Ventas!$C$6:$C$605,"Grande"),""))</f>
        <v>0</v>
      </c>
      <c r="H114" s="69" t="n">
        <f aca="false">IF($A114="","",N($D114)+N($E114)+N($F114)+N($G114))</f>
        <v>2</v>
      </c>
      <c r="I114" s="70" t="str">
        <f aca="false">IF($A114="","",IF(N($H114)&lt;=0,"SIN STOCK",IF(LEFT($C114,6)="Anillo",IF(IF(AND(SUMIFS(Compras!$D$6:$D$605,Compras!$B$6:$B$605,$A114,Compras!$C$6:$C$605,"Chico")&gt;0,N($E114)&lt;=$B$5),"C ","")&amp;IF(AND(SUMIFS(Compras!$D$6:$D$605,Compras!$B$6:$B$605,$A114,Compras!$C$6:$C$605,"Mediano")&gt;0,N($F114)&lt;=$B$5),"M ","")&amp;IF(AND(SUMIFS(Compras!$D$6:$D$605,Compras!$B$6:$B$605,$A114,Compras!$C$6:$C$605,"Grande")&gt;0,N($G114)&lt;=$B$5),"G","")="","","Reponer "&amp;IF(AND(SUMIFS(Compras!$D$6:$D$605,Compras!$B$6:$B$605,$A114,Compras!$C$6:$C$605,"Chico")&gt;0,N($E114)&lt;=$B$5),"C ","")&amp;IF(AND(SUMIFS(Compras!$D$6:$D$605,Compras!$B$6:$B$605,$A114,Compras!$C$6:$C$605,"Mediano")&gt;0,N($F114)&lt;=$B$5),"M ","")&amp;IF(AND(SUMIFS(Compras!$D$6:$D$605,Compras!$B$6:$B$605,$A114,Compras!$C$6:$C$605,"Grande")&gt;0,N($G114)&lt;=$B$5),"G","")),IF(N($H114)&lt;=$B$5,"REPONER",""))))</f>
        <v/>
      </c>
      <c r="J114" s="69" t="n">
        <f aca="false">IF($A114="","",SUMIFS(Ventas!$D$6:$D$605,Ventas!$B$6:$B$605,$A114))</f>
        <v>0</v>
      </c>
      <c r="K114" s="45" t="n">
        <f aca="false">IF($A114="","",SUMIFS(Ventas!$F$6:$F$605,Ventas!$B$6:$B$605,$A114))</f>
        <v>0</v>
      </c>
    </row>
    <row r="115" customFormat="false" ht="15.75" hidden="false" customHeight="true" outlineLevel="0" collapsed="false">
      <c r="A115" s="68" t="str">
        <f aca="false">IF(Costos!$A129="","",Costos!$A129)</f>
        <v>Anillo Lia Plateado</v>
      </c>
      <c r="B115" s="68" t="str">
        <f aca="false">IF(Costos!$A129="","",Costos!$B129&amp;"")</f>
        <v>Acero inoxidable</v>
      </c>
      <c r="C115" s="68" t="str">
        <f aca="false">IF(Costos!$A129="","",Costos!$C129&amp;"")</f>
        <v>Anillo</v>
      </c>
      <c r="D115" s="69" t="n">
        <f aca="false">IF($A115="","",SUMIFS(Compras!$D$6:$D$605,Compras!$B$6:$B$605,$A115,Compras!$C$6:$C$605,"Único")-SUMIFS(Ventas!$D$6:$D$605,Ventas!$B$6:$B$605,$A115,Ventas!$C$6:$C$605,"Único"))</f>
        <v>2</v>
      </c>
      <c r="E115" s="69" t="n">
        <f aca="false">IF($A115="","",IF(LEFT($C115,6)="Anillo",SUMIFS(Compras!$D$6:$D$605,Compras!$B$6:$B$605,$A115,Compras!$C$6:$C$605,"Chico")-SUMIFS(Ventas!$D$6:$D$605,Ventas!$B$6:$B$605,$A115,Ventas!$C$6:$C$605,"Chico"),""))</f>
        <v>0</v>
      </c>
      <c r="F115" s="69" t="n">
        <f aca="false">IF($A115="","",IF(LEFT($C115,6)="Anillo",SUMIFS(Compras!$D$6:$D$605,Compras!$B$6:$B$605,$A115,Compras!$C$6:$C$605,"Mediano")-SUMIFS(Ventas!$D$6:$D$605,Ventas!$B$6:$B$605,$A115,Ventas!$C$6:$C$605,"Mediano"),""))</f>
        <v>0</v>
      </c>
      <c r="G115" s="69" t="n">
        <f aca="false">IF($A115="","",IF(LEFT($C115,6)="Anillo",SUMIFS(Compras!$D$6:$D$605,Compras!$B$6:$B$605,$A115,Compras!$C$6:$C$605,"Grande")-SUMIFS(Ventas!$D$6:$D$605,Ventas!$B$6:$B$605,$A115,Ventas!$C$6:$C$605,"Grande"),""))</f>
        <v>0</v>
      </c>
      <c r="H115" s="69" t="n">
        <f aca="false">IF($A115="","",N($D115)+N($E115)+N($F115)+N($G115))</f>
        <v>2</v>
      </c>
      <c r="I115" s="70" t="str">
        <f aca="false">IF($A115="","",IF(N($H115)&lt;=0,"SIN STOCK",IF(LEFT($C115,6)="Anillo",IF(IF(AND(SUMIFS(Compras!$D$6:$D$605,Compras!$B$6:$B$605,$A115,Compras!$C$6:$C$605,"Chico")&gt;0,N($E115)&lt;=$B$5),"C ","")&amp;IF(AND(SUMIFS(Compras!$D$6:$D$605,Compras!$B$6:$B$605,$A115,Compras!$C$6:$C$605,"Mediano")&gt;0,N($F115)&lt;=$B$5),"M ","")&amp;IF(AND(SUMIFS(Compras!$D$6:$D$605,Compras!$B$6:$B$605,$A115,Compras!$C$6:$C$605,"Grande")&gt;0,N($G115)&lt;=$B$5),"G","")="","","Reponer "&amp;IF(AND(SUMIFS(Compras!$D$6:$D$605,Compras!$B$6:$B$605,$A115,Compras!$C$6:$C$605,"Chico")&gt;0,N($E115)&lt;=$B$5),"C ","")&amp;IF(AND(SUMIFS(Compras!$D$6:$D$605,Compras!$B$6:$B$605,$A115,Compras!$C$6:$C$605,"Mediano")&gt;0,N($F115)&lt;=$B$5),"M ","")&amp;IF(AND(SUMIFS(Compras!$D$6:$D$605,Compras!$B$6:$B$605,$A115,Compras!$C$6:$C$605,"Grande")&gt;0,N($G115)&lt;=$B$5),"G","")),IF(N($H115)&lt;=$B$5,"REPONER",""))))</f>
        <v/>
      </c>
      <c r="J115" s="69" t="n">
        <f aca="false">IF($A115="","",SUMIFS(Ventas!$D$6:$D$605,Ventas!$B$6:$B$605,$A115))</f>
        <v>0</v>
      </c>
      <c r="K115" s="45" t="n">
        <f aca="false">IF($A115="","",SUMIFS(Ventas!$F$6:$F$605,Ventas!$B$6:$B$605,$A115))</f>
        <v>0</v>
      </c>
    </row>
    <row r="116" customFormat="false" ht="15.75" hidden="false" customHeight="true" outlineLevel="0" collapsed="false">
      <c r="A116" s="68" t="str">
        <f aca="false">IF(Costos!$A130="","",Costos!$A130)</f>
        <v>Anillo Onix</v>
      </c>
      <c r="B116" s="68" t="str">
        <f aca="false">IF(Costos!$A130="","",Costos!$B130&amp;"")</f>
        <v>Acero inoxidable</v>
      </c>
      <c r="C116" s="68" t="str">
        <f aca="false">IF(Costos!$A130="","",Costos!$C130&amp;"")</f>
        <v>Anillo</v>
      </c>
      <c r="D116" s="69" t="n">
        <f aca="false">IF($A116="","",SUMIFS(Compras!$D$6:$D$605,Compras!$B$6:$B$605,$A116,Compras!$C$6:$C$605,"Único")-SUMIFS(Ventas!$D$6:$D$605,Ventas!$B$6:$B$605,$A116,Ventas!$C$6:$C$605,"Único"))</f>
        <v>0</v>
      </c>
      <c r="E116" s="69" t="n">
        <f aca="false">IF($A116="","",IF(LEFT($C116,6)="Anillo",SUMIFS(Compras!$D$6:$D$605,Compras!$B$6:$B$605,$A116,Compras!$C$6:$C$605,"Chico")-SUMIFS(Ventas!$D$6:$D$605,Ventas!$B$6:$B$605,$A116,Ventas!$C$6:$C$605,"Chico"),""))</f>
        <v>0</v>
      </c>
      <c r="F116" s="69" t="n">
        <f aca="false">IF($A116="","",IF(LEFT($C116,6)="Anillo",SUMIFS(Compras!$D$6:$D$605,Compras!$B$6:$B$605,$A116,Compras!$C$6:$C$605,"Mediano")-SUMIFS(Ventas!$D$6:$D$605,Ventas!$B$6:$B$605,$A116,Ventas!$C$6:$C$605,"Mediano"),""))</f>
        <v>0</v>
      </c>
      <c r="G116" s="69" t="n">
        <f aca="false">IF($A116="","",IF(LEFT($C116,6)="Anillo",SUMIFS(Compras!$D$6:$D$605,Compras!$B$6:$B$605,$A116,Compras!$C$6:$C$605,"Grande")-SUMIFS(Ventas!$D$6:$D$605,Ventas!$B$6:$B$605,$A116,Ventas!$C$6:$C$605,"Grande"),""))</f>
        <v>0</v>
      </c>
      <c r="H116" s="69" t="n">
        <f aca="false">IF($A116="","",N($D116)+N($E116)+N($F116)+N($G116))</f>
        <v>0</v>
      </c>
      <c r="I116" s="70" t="str">
        <f aca="false">IF($A116="","",IF(N($H116)&lt;=0,"SIN STOCK",IF(LEFT($C116,6)="Anillo",IF(IF(AND(SUMIFS(Compras!$D$6:$D$605,Compras!$B$6:$B$605,$A116,Compras!$C$6:$C$605,"Chico")&gt;0,N($E116)&lt;=$B$5),"C ","")&amp;IF(AND(SUMIFS(Compras!$D$6:$D$605,Compras!$B$6:$B$605,$A116,Compras!$C$6:$C$605,"Mediano")&gt;0,N($F116)&lt;=$B$5),"M ","")&amp;IF(AND(SUMIFS(Compras!$D$6:$D$605,Compras!$B$6:$B$605,$A116,Compras!$C$6:$C$605,"Grande")&gt;0,N($G116)&lt;=$B$5),"G","")="","","Reponer "&amp;IF(AND(SUMIFS(Compras!$D$6:$D$605,Compras!$B$6:$B$605,$A116,Compras!$C$6:$C$605,"Chico")&gt;0,N($E116)&lt;=$B$5),"C ","")&amp;IF(AND(SUMIFS(Compras!$D$6:$D$605,Compras!$B$6:$B$605,$A116,Compras!$C$6:$C$605,"Mediano")&gt;0,N($F116)&lt;=$B$5),"M ","")&amp;IF(AND(SUMIFS(Compras!$D$6:$D$605,Compras!$B$6:$B$605,$A116,Compras!$C$6:$C$605,"Grande")&gt;0,N($G116)&lt;=$B$5),"G","")),IF(N($H116)&lt;=$B$5,"REPONER",""))))</f>
        <v>SIN STOCK</v>
      </c>
      <c r="J116" s="69" t="n">
        <f aca="false">IF($A116="","",SUMIFS(Ventas!$D$6:$D$605,Ventas!$B$6:$B$605,$A116))</f>
        <v>0</v>
      </c>
      <c r="K116" s="45" t="n">
        <f aca="false">IF($A116="","",SUMIFS(Ventas!$F$6:$F$605,Ventas!$B$6:$B$605,$A116))</f>
        <v>0</v>
      </c>
    </row>
    <row r="117" customFormat="false" ht="15.75" hidden="false" customHeight="true" outlineLevel="0" collapsed="false">
      <c r="A117" s="68" t="str">
        <f aca="false">IF(Costos!$A131="","",Costos!$A131)</f>
        <v>Pulsera Bolitas</v>
      </c>
      <c r="B117" s="68" t="str">
        <f aca="false">IF(Costos!$A131="","",Costos!$B131&amp;"")</f>
        <v>Acero dorado</v>
      </c>
      <c r="C117" s="68" t="str">
        <f aca="false">IF(Costos!$A131="","",Costos!$C131&amp;"")</f>
        <v>Pulsera</v>
      </c>
      <c r="D117" s="69" t="n">
        <f aca="false">IF($A117="","",SUMIFS(Compras!$D$6:$D$605,Compras!$B$6:$B$605,$A117,Compras!$C$6:$C$605,"Único")-SUMIFS(Ventas!$D$6:$D$605,Ventas!$B$6:$B$605,$A117,Ventas!$C$6:$C$605,"Único"))</f>
        <v>2</v>
      </c>
      <c r="E117" s="69" t="str">
        <f aca="false">IF($A117="","",IF(LEFT($C117,6)="Anillo",SUMIFS(Compras!$D$6:$D$605,Compras!$B$6:$B$605,$A117,Compras!$C$6:$C$605,"Chico")-SUMIFS(Ventas!$D$6:$D$605,Ventas!$B$6:$B$605,$A117,Ventas!$C$6:$C$605,"Chico"),""))</f>
        <v/>
      </c>
      <c r="F117" s="69" t="str">
        <f aca="false">IF($A117="","",IF(LEFT($C117,6)="Anillo",SUMIFS(Compras!$D$6:$D$605,Compras!$B$6:$B$605,$A117,Compras!$C$6:$C$605,"Mediano")-SUMIFS(Ventas!$D$6:$D$605,Ventas!$B$6:$B$605,$A117,Ventas!$C$6:$C$605,"Mediano"),""))</f>
        <v/>
      </c>
      <c r="G117" s="69" t="str">
        <f aca="false">IF($A117="","",IF(LEFT($C117,6)="Anillo",SUMIFS(Compras!$D$6:$D$605,Compras!$B$6:$B$605,$A117,Compras!$C$6:$C$605,"Grande")-SUMIFS(Ventas!$D$6:$D$605,Ventas!$B$6:$B$605,$A117,Ventas!$C$6:$C$605,"Grande"),""))</f>
        <v/>
      </c>
      <c r="H117" s="69" t="n">
        <f aca="false">IF($A117="","",N($D117)+N($E117)+N($F117)+N($G117))</f>
        <v>2</v>
      </c>
      <c r="I117" s="70" t="str">
        <f aca="false">IF($A117="","",IF(N($H117)&lt;=0,"SIN STOCK",IF(LEFT($C117,6)="Anillo",IF(IF(AND(SUMIFS(Compras!$D$6:$D$605,Compras!$B$6:$B$605,$A117,Compras!$C$6:$C$605,"Chico")&gt;0,N($E117)&lt;=$B$5),"C ","")&amp;IF(AND(SUMIFS(Compras!$D$6:$D$605,Compras!$B$6:$B$605,$A117,Compras!$C$6:$C$605,"Mediano")&gt;0,N($F117)&lt;=$B$5),"M ","")&amp;IF(AND(SUMIFS(Compras!$D$6:$D$605,Compras!$B$6:$B$605,$A117,Compras!$C$6:$C$605,"Grande")&gt;0,N($G117)&lt;=$B$5),"G","")="","","Reponer "&amp;IF(AND(SUMIFS(Compras!$D$6:$D$605,Compras!$B$6:$B$605,$A117,Compras!$C$6:$C$605,"Chico")&gt;0,N($E117)&lt;=$B$5),"C ","")&amp;IF(AND(SUMIFS(Compras!$D$6:$D$605,Compras!$B$6:$B$605,$A117,Compras!$C$6:$C$605,"Mediano")&gt;0,N($F117)&lt;=$B$5),"M ","")&amp;IF(AND(SUMIFS(Compras!$D$6:$D$605,Compras!$B$6:$B$605,$A117,Compras!$C$6:$C$605,"Grande")&gt;0,N($G117)&lt;=$B$5),"G","")),IF(N($H117)&lt;=$B$5,"REPONER",""))))</f>
        <v/>
      </c>
      <c r="J117" s="69" t="n">
        <f aca="false">IF($A117="","",SUMIFS(Ventas!$D$6:$D$605,Ventas!$B$6:$B$605,$A117))</f>
        <v>0</v>
      </c>
      <c r="K117" s="45" t="n">
        <f aca="false">IF($A117="","",SUMIFS(Ventas!$F$6:$F$605,Ventas!$B$6:$B$605,$A117))</f>
        <v>0</v>
      </c>
    </row>
    <row r="118" customFormat="false" ht="15.75" hidden="false" customHeight="true" outlineLevel="0" collapsed="false">
      <c r="A118" s="68" t="str">
        <f aca="false">IF(Costos!$A132="","",Costos!$A132)</f>
        <v/>
      </c>
      <c r="B118" s="68" t="str">
        <f aca="false">IF(Costos!$A132="","",Costos!$B132&amp;"")</f>
        <v/>
      </c>
      <c r="C118" s="68" t="str">
        <f aca="false">IF(Costos!$A132="","",Costos!$C132&amp;"")</f>
        <v/>
      </c>
      <c r="D118" s="69" t="str">
        <f aca="false">IF($A118="","",SUMIFS(Compras!$D$6:$D$605,Compras!$B$6:$B$605,$A118,Compras!$C$6:$C$605,"Único")-SUMIFS(Ventas!$D$6:$D$605,Ventas!$B$6:$B$605,$A118,Ventas!$C$6:$C$605,"Único"))</f>
        <v/>
      </c>
      <c r="E118" s="69" t="str">
        <f aca="false">IF($A118="","",IF(LEFT($C118,6)="Anillo",SUMIFS(Compras!$D$6:$D$605,Compras!$B$6:$B$605,$A118,Compras!$C$6:$C$605,"Chico")-SUMIFS(Ventas!$D$6:$D$605,Ventas!$B$6:$B$605,$A118,Ventas!$C$6:$C$605,"Chico"),""))</f>
        <v/>
      </c>
      <c r="F118" s="69" t="str">
        <f aca="false">IF($A118="","",IF(LEFT($C118,6)="Anillo",SUMIFS(Compras!$D$6:$D$605,Compras!$B$6:$B$605,$A118,Compras!$C$6:$C$605,"Mediano")-SUMIFS(Ventas!$D$6:$D$605,Ventas!$B$6:$B$605,$A118,Ventas!$C$6:$C$605,"Mediano"),""))</f>
        <v/>
      </c>
      <c r="G118" s="69" t="str">
        <f aca="false">IF($A118="","",IF(LEFT($C118,6)="Anillo",SUMIFS(Compras!$D$6:$D$605,Compras!$B$6:$B$605,$A118,Compras!$C$6:$C$605,"Grande")-SUMIFS(Ventas!$D$6:$D$605,Ventas!$B$6:$B$605,$A118,Ventas!$C$6:$C$605,"Grande"),""))</f>
        <v/>
      </c>
      <c r="H118" s="69" t="str">
        <f aca="false">IF($A118="","",N($D118)+N($E118)+N($F118)+N($G118))</f>
        <v/>
      </c>
      <c r="I118" s="70" t="str">
        <f aca="false">IF($A118="","",IF(N($H118)&lt;=0,"SIN STOCK",IF(LEFT($C118,6)="Anillo",IF(IF(AND(SUMIFS(Compras!$D$6:$D$605,Compras!$B$6:$B$605,$A118,Compras!$C$6:$C$605,"Chico")&gt;0,N($E118)&lt;=$B$5),"C ","")&amp;IF(AND(SUMIFS(Compras!$D$6:$D$605,Compras!$B$6:$B$605,$A118,Compras!$C$6:$C$605,"Mediano")&gt;0,N($F118)&lt;=$B$5),"M ","")&amp;IF(AND(SUMIFS(Compras!$D$6:$D$605,Compras!$B$6:$B$605,$A118,Compras!$C$6:$C$605,"Grande")&gt;0,N($G118)&lt;=$B$5),"G","")="","","Reponer "&amp;IF(AND(SUMIFS(Compras!$D$6:$D$605,Compras!$B$6:$B$605,$A118,Compras!$C$6:$C$605,"Chico")&gt;0,N($E118)&lt;=$B$5),"C ","")&amp;IF(AND(SUMIFS(Compras!$D$6:$D$605,Compras!$B$6:$B$605,$A118,Compras!$C$6:$C$605,"Mediano")&gt;0,N($F118)&lt;=$B$5),"M ","")&amp;IF(AND(SUMIFS(Compras!$D$6:$D$605,Compras!$B$6:$B$605,$A118,Compras!$C$6:$C$605,"Grande")&gt;0,N($G118)&lt;=$B$5),"G","")),IF(N($H118)&lt;=$B$5,"REPONER",""))))</f>
        <v/>
      </c>
      <c r="J118" s="69" t="str">
        <f aca="false">IF($A118="","",SUMIFS(Ventas!$D$6:$D$605,Ventas!$B$6:$B$605,$A118))</f>
        <v/>
      </c>
      <c r="K118" s="45" t="str">
        <f aca="false">IF($A118="","",SUMIFS(Ventas!$F$6:$F$605,Ventas!$B$6:$B$605,$A118))</f>
        <v/>
      </c>
    </row>
    <row r="119" customFormat="false" ht="15.75" hidden="false" customHeight="true" outlineLevel="0" collapsed="false">
      <c r="A119" s="68" t="str">
        <f aca="false">IF(Costos!$A133="","",Costos!$A133)</f>
        <v/>
      </c>
      <c r="B119" s="68" t="str">
        <f aca="false">IF(Costos!$A133="","",Costos!$B133&amp;"")</f>
        <v/>
      </c>
      <c r="C119" s="68" t="str">
        <f aca="false">IF(Costos!$A133="","",Costos!$C133&amp;"")</f>
        <v/>
      </c>
      <c r="D119" s="69" t="str">
        <f aca="false">IF($A119="","",SUMIFS(Compras!$D$6:$D$605,Compras!$B$6:$B$605,$A119,Compras!$C$6:$C$605,"Único")-SUMIFS(Ventas!$D$6:$D$605,Ventas!$B$6:$B$605,$A119,Ventas!$C$6:$C$605,"Único"))</f>
        <v/>
      </c>
      <c r="E119" s="69" t="str">
        <f aca="false">IF($A119="","",IF(LEFT($C119,6)="Anillo",SUMIFS(Compras!$D$6:$D$605,Compras!$B$6:$B$605,$A119,Compras!$C$6:$C$605,"Chico")-SUMIFS(Ventas!$D$6:$D$605,Ventas!$B$6:$B$605,$A119,Ventas!$C$6:$C$605,"Chico"),""))</f>
        <v/>
      </c>
      <c r="F119" s="69" t="str">
        <f aca="false">IF($A119="","",IF(LEFT($C119,6)="Anillo",SUMIFS(Compras!$D$6:$D$605,Compras!$B$6:$B$605,$A119,Compras!$C$6:$C$605,"Mediano")-SUMIFS(Ventas!$D$6:$D$605,Ventas!$B$6:$B$605,$A119,Ventas!$C$6:$C$605,"Mediano"),""))</f>
        <v/>
      </c>
      <c r="G119" s="69" t="str">
        <f aca="false">IF($A119="","",IF(LEFT($C119,6)="Anillo",SUMIFS(Compras!$D$6:$D$605,Compras!$B$6:$B$605,$A119,Compras!$C$6:$C$605,"Grande")-SUMIFS(Ventas!$D$6:$D$605,Ventas!$B$6:$B$605,$A119,Ventas!$C$6:$C$605,"Grande"),""))</f>
        <v/>
      </c>
      <c r="H119" s="69" t="str">
        <f aca="false">IF($A119="","",N($D119)+N($E119)+N($F119)+N($G119))</f>
        <v/>
      </c>
      <c r="I119" s="70" t="str">
        <f aca="false">IF($A119="","",IF(N($H119)&lt;=0,"SIN STOCK",IF(LEFT($C119,6)="Anillo",IF(IF(AND(SUMIFS(Compras!$D$6:$D$605,Compras!$B$6:$B$605,$A119,Compras!$C$6:$C$605,"Chico")&gt;0,N($E119)&lt;=$B$5),"C ","")&amp;IF(AND(SUMIFS(Compras!$D$6:$D$605,Compras!$B$6:$B$605,$A119,Compras!$C$6:$C$605,"Mediano")&gt;0,N($F119)&lt;=$B$5),"M ","")&amp;IF(AND(SUMIFS(Compras!$D$6:$D$605,Compras!$B$6:$B$605,$A119,Compras!$C$6:$C$605,"Grande")&gt;0,N($G119)&lt;=$B$5),"G","")="","","Reponer "&amp;IF(AND(SUMIFS(Compras!$D$6:$D$605,Compras!$B$6:$B$605,$A119,Compras!$C$6:$C$605,"Chico")&gt;0,N($E119)&lt;=$B$5),"C ","")&amp;IF(AND(SUMIFS(Compras!$D$6:$D$605,Compras!$B$6:$B$605,$A119,Compras!$C$6:$C$605,"Mediano")&gt;0,N($F119)&lt;=$B$5),"M ","")&amp;IF(AND(SUMIFS(Compras!$D$6:$D$605,Compras!$B$6:$B$605,$A119,Compras!$C$6:$C$605,"Grande")&gt;0,N($G119)&lt;=$B$5),"G","")),IF(N($H119)&lt;=$B$5,"REPONER",""))))</f>
        <v/>
      </c>
      <c r="J119" s="69" t="str">
        <f aca="false">IF($A119="","",SUMIFS(Ventas!$D$6:$D$605,Ventas!$B$6:$B$605,$A119))</f>
        <v/>
      </c>
      <c r="K119" s="45" t="str">
        <f aca="false">IF($A119="","",SUMIFS(Ventas!$F$6:$F$605,Ventas!$B$6:$B$605,$A119))</f>
        <v/>
      </c>
    </row>
    <row r="120" customFormat="false" ht="15.75" hidden="false" customHeight="true" outlineLevel="0" collapsed="false">
      <c r="A120" s="68" t="str">
        <f aca="false">IF(Costos!$A134="","",Costos!$A134)</f>
        <v>Duo Collar Nazar Rojo</v>
      </c>
      <c r="B120" s="68" t="str">
        <f aca="false">IF(Costos!$A134="","",Costos!$B134&amp;"")</f>
        <v>Acero dorado</v>
      </c>
      <c r="C120" s="68" t="str">
        <f aca="false">IF(Costos!$A134="","",Costos!$C134&amp;"")</f>
        <v>Collar</v>
      </c>
      <c r="D120" s="69" t="n">
        <f aca="false">IF($A120="","",SUMIFS(Compras!$D$6:$D$605,Compras!$B$6:$B$605,$A120,Compras!$C$6:$C$605,"Único")-SUMIFS(Ventas!$D$6:$D$605,Ventas!$B$6:$B$605,$A120,Ventas!$C$6:$C$605,"Único"))</f>
        <v>2</v>
      </c>
      <c r="E120" s="69" t="str">
        <f aca="false">IF($A120="","",IF(LEFT($C120,6)="Anillo",SUMIFS(Compras!$D$6:$D$605,Compras!$B$6:$B$605,$A120,Compras!$C$6:$C$605,"Chico")-SUMIFS(Ventas!$D$6:$D$605,Ventas!$B$6:$B$605,$A120,Ventas!$C$6:$C$605,"Chico"),""))</f>
        <v/>
      </c>
      <c r="F120" s="69" t="str">
        <f aca="false">IF($A120="","",IF(LEFT($C120,6)="Anillo",SUMIFS(Compras!$D$6:$D$605,Compras!$B$6:$B$605,$A120,Compras!$C$6:$C$605,"Mediano")-SUMIFS(Ventas!$D$6:$D$605,Ventas!$B$6:$B$605,$A120,Ventas!$C$6:$C$605,"Mediano"),""))</f>
        <v/>
      </c>
      <c r="G120" s="69" t="str">
        <f aca="false">IF($A120="","",IF(LEFT($C120,6)="Anillo",SUMIFS(Compras!$D$6:$D$605,Compras!$B$6:$B$605,$A120,Compras!$C$6:$C$605,"Grande")-SUMIFS(Ventas!$D$6:$D$605,Ventas!$B$6:$B$605,$A120,Ventas!$C$6:$C$605,"Grande"),""))</f>
        <v/>
      </c>
      <c r="H120" s="69" t="n">
        <f aca="false">IF($A120="","",N($D120)+N($E120)+N($F120)+N($G120))</f>
        <v>2</v>
      </c>
      <c r="I120" s="70" t="str">
        <f aca="false">IF($A120="","",IF(N($H120)&lt;=0,"SIN STOCK",IF(LEFT($C120,6)="Anillo",IF(IF(AND(SUMIFS(Compras!$D$6:$D$605,Compras!$B$6:$B$605,$A120,Compras!$C$6:$C$605,"Chico")&gt;0,N($E120)&lt;=$B$5),"C ","")&amp;IF(AND(SUMIFS(Compras!$D$6:$D$605,Compras!$B$6:$B$605,$A120,Compras!$C$6:$C$605,"Mediano")&gt;0,N($F120)&lt;=$B$5),"M ","")&amp;IF(AND(SUMIFS(Compras!$D$6:$D$605,Compras!$B$6:$B$605,$A120,Compras!$C$6:$C$605,"Grande")&gt;0,N($G120)&lt;=$B$5),"G","")="","","Reponer "&amp;IF(AND(SUMIFS(Compras!$D$6:$D$605,Compras!$B$6:$B$605,$A120,Compras!$C$6:$C$605,"Chico")&gt;0,N($E120)&lt;=$B$5),"C ","")&amp;IF(AND(SUMIFS(Compras!$D$6:$D$605,Compras!$B$6:$B$605,$A120,Compras!$C$6:$C$605,"Mediano")&gt;0,N($F120)&lt;=$B$5),"M ","")&amp;IF(AND(SUMIFS(Compras!$D$6:$D$605,Compras!$B$6:$B$605,$A120,Compras!$C$6:$C$605,"Grande")&gt;0,N($G120)&lt;=$B$5),"G","")),IF(N($H120)&lt;=$B$5,"REPONER",""))))</f>
        <v/>
      </c>
      <c r="J120" s="69" t="n">
        <f aca="false">IF($A120="","",SUMIFS(Ventas!$D$6:$D$605,Ventas!$B$6:$B$605,$A120))</f>
        <v>0</v>
      </c>
      <c r="K120" s="45" t="n">
        <f aca="false">IF($A120="","",SUMIFS(Ventas!$F$6:$F$605,Ventas!$B$6:$B$605,$A120))</f>
        <v>0</v>
      </c>
    </row>
    <row r="121" customFormat="false" ht="15.75" hidden="false" customHeight="true" outlineLevel="0" collapsed="false">
      <c r="A121" s="68" t="str">
        <f aca="false">IF(Costos!$A135="","",Costos!$A135)</f>
        <v>Duo Collar Nazar Blanco</v>
      </c>
      <c r="B121" s="68" t="str">
        <f aca="false">IF(Costos!$A135="","",Costos!$B135&amp;"")</f>
        <v>Acero dorado</v>
      </c>
      <c r="C121" s="68" t="str">
        <f aca="false">IF(Costos!$A135="","",Costos!$C135&amp;"")</f>
        <v>Collar</v>
      </c>
      <c r="D121" s="69" t="n">
        <f aca="false">IF($A121="","",SUMIFS(Compras!$D$6:$D$605,Compras!$B$6:$B$605,$A121,Compras!$C$6:$C$605,"Único")-SUMIFS(Ventas!$D$6:$D$605,Ventas!$B$6:$B$605,$A121,Ventas!$C$6:$C$605,"Único"))</f>
        <v>1</v>
      </c>
      <c r="E121" s="69" t="str">
        <f aca="false">IF($A121="","",IF(LEFT($C121,6)="Anillo",SUMIFS(Compras!$D$6:$D$605,Compras!$B$6:$B$605,$A121,Compras!$C$6:$C$605,"Chico")-SUMIFS(Ventas!$D$6:$D$605,Ventas!$B$6:$B$605,$A121,Ventas!$C$6:$C$605,"Chico"),""))</f>
        <v/>
      </c>
      <c r="F121" s="69" t="str">
        <f aca="false">IF($A121="","",IF(LEFT($C121,6)="Anillo",SUMIFS(Compras!$D$6:$D$605,Compras!$B$6:$B$605,$A121,Compras!$C$6:$C$605,"Mediano")-SUMIFS(Ventas!$D$6:$D$605,Ventas!$B$6:$B$605,$A121,Ventas!$C$6:$C$605,"Mediano"),""))</f>
        <v/>
      </c>
      <c r="G121" s="69" t="str">
        <f aca="false">IF($A121="","",IF(LEFT($C121,6)="Anillo",SUMIFS(Compras!$D$6:$D$605,Compras!$B$6:$B$605,$A121,Compras!$C$6:$C$605,"Grande")-SUMIFS(Ventas!$D$6:$D$605,Ventas!$B$6:$B$605,$A121,Ventas!$C$6:$C$605,"Grande"),""))</f>
        <v/>
      </c>
      <c r="H121" s="69" t="n">
        <f aca="false">IF($A121="","",N($D121)+N($E121)+N($F121)+N($G121))</f>
        <v>1</v>
      </c>
      <c r="I121" s="70" t="str">
        <f aca="false">IF($A121="","",IF(N($H121)&lt;=0,"SIN STOCK",IF(LEFT($C121,6)="Anillo",IF(IF(AND(SUMIFS(Compras!$D$6:$D$605,Compras!$B$6:$B$605,$A121,Compras!$C$6:$C$605,"Chico")&gt;0,N($E121)&lt;=$B$5),"C ","")&amp;IF(AND(SUMIFS(Compras!$D$6:$D$605,Compras!$B$6:$B$605,$A121,Compras!$C$6:$C$605,"Mediano")&gt;0,N($F121)&lt;=$B$5),"M ","")&amp;IF(AND(SUMIFS(Compras!$D$6:$D$605,Compras!$B$6:$B$605,$A121,Compras!$C$6:$C$605,"Grande")&gt;0,N($G121)&lt;=$B$5),"G","")="","","Reponer "&amp;IF(AND(SUMIFS(Compras!$D$6:$D$605,Compras!$B$6:$B$605,$A121,Compras!$C$6:$C$605,"Chico")&gt;0,N($E121)&lt;=$B$5),"C ","")&amp;IF(AND(SUMIFS(Compras!$D$6:$D$605,Compras!$B$6:$B$605,$A121,Compras!$C$6:$C$605,"Mediano")&gt;0,N($F121)&lt;=$B$5),"M ","")&amp;IF(AND(SUMIFS(Compras!$D$6:$D$605,Compras!$B$6:$B$605,$A121,Compras!$C$6:$C$605,"Grande")&gt;0,N($G121)&lt;=$B$5),"G","")),IF(N($H121)&lt;=$B$5,"REPONER",""))))</f>
        <v>REPONER</v>
      </c>
      <c r="J121" s="69" t="n">
        <f aca="false">IF($A121="","",SUMIFS(Ventas!$D$6:$D$605,Ventas!$B$6:$B$605,$A121))</f>
        <v>0</v>
      </c>
      <c r="K121" s="45" t="n">
        <f aca="false">IF($A121="","",SUMIFS(Ventas!$F$6:$F$605,Ventas!$B$6:$B$605,$A121))</f>
        <v>0</v>
      </c>
    </row>
    <row r="122" customFormat="false" ht="15.75" hidden="false" customHeight="true" outlineLevel="0" collapsed="false">
      <c r="A122" s="68" t="str">
        <f aca="false">IF(Costos!$A136="","",Costos!$A136)</f>
        <v>Collar Ocampo</v>
      </c>
      <c r="B122" s="68" t="str">
        <f aca="false">IF(Costos!$A136="","",Costos!$B136&amp;"")</f>
        <v>Acero inoxidable</v>
      </c>
      <c r="C122" s="68" t="str">
        <f aca="false">IF(Costos!$A136="","",Costos!$C136&amp;"")</f>
        <v>Collar</v>
      </c>
      <c r="D122" s="69" t="n">
        <f aca="false">IF($A122="","",SUMIFS(Compras!$D$6:$D$605,Compras!$B$6:$B$605,$A122,Compras!$C$6:$C$605,"Único")-SUMIFS(Ventas!$D$6:$D$605,Ventas!$B$6:$B$605,$A122,Ventas!$C$6:$C$605,"Único"))</f>
        <v>2</v>
      </c>
      <c r="E122" s="69" t="str">
        <f aca="false">IF($A122="","",IF(LEFT($C122,6)="Anillo",SUMIFS(Compras!$D$6:$D$605,Compras!$B$6:$B$605,$A122,Compras!$C$6:$C$605,"Chico")-SUMIFS(Ventas!$D$6:$D$605,Ventas!$B$6:$B$605,$A122,Ventas!$C$6:$C$605,"Chico"),""))</f>
        <v/>
      </c>
      <c r="F122" s="69" t="str">
        <f aca="false">IF($A122="","",IF(LEFT($C122,6)="Anillo",SUMIFS(Compras!$D$6:$D$605,Compras!$B$6:$B$605,$A122,Compras!$C$6:$C$605,"Mediano")-SUMIFS(Ventas!$D$6:$D$605,Ventas!$B$6:$B$605,$A122,Ventas!$C$6:$C$605,"Mediano"),""))</f>
        <v/>
      </c>
      <c r="G122" s="69" t="str">
        <f aca="false">IF($A122="","",IF(LEFT($C122,6)="Anillo",SUMIFS(Compras!$D$6:$D$605,Compras!$B$6:$B$605,$A122,Compras!$C$6:$C$605,"Grande")-SUMIFS(Ventas!$D$6:$D$605,Ventas!$B$6:$B$605,$A122,Ventas!$C$6:$C$605,"Grande"),""))</f>
        <v/>
      </c>
      <c r="H122" s="69" t="n">
        <f aca="false">IF($A122="","",N($D122)+N($E122)+N($F122)+N($G122))</f>
        <v>2</v>
      </c>
      <c r="I122" s="70" t="str">
        <f aca="false">IF($A122="","",IF(N($H122)&lt;=0,"SIN STOCK",IF(LEFT($C122,6)="Anillo",IF(IF(AND(SUMIFS(Compras!$D$6:$D$605,Compras!$B$6:$B$605,$A122,Compras!$C$6:$C$605,"Chico")&gt;0,N($E122)&lt;=$B$5),"C ","")&amp;IF(AND(SUMIFS(Compras!$D$6:$D$605,Compras!$B$6:$B$605,$A122,Compras!$C$6:$C$605,"Mediano")&gt;0,N($F122)&lt;=$B$5),"M ","")&amp;IF(AND(SUMIFS(Compras!$D$6:$D$605,Compras!$B$6:$B$605,$A122,Compras!$C$6:$C$605,"Grande")&gt;0,N($G122)&lt;=$B$5),"G","")="","","Reponer "&amp;IF(AND(SUMIFS(Compras!$D$6:$D$605,Compras!$B$6:$B$605,$A122,Compras!$C$6:$C$605,"Chico")&gt;0,N($E122)&lt;=$B$5),"C ","")&amp;IF(AND(SUMIFS(Compras!$D$6:$D$605,Compras!$B$6:$B$605,$A122,Compras!$C$6:$C$605,"Mediano")&gt;0,N($F122)&lt;=$B$5),"M ","")&amp;IF(AND(SUMIFS(Compras!$D$6:$D$605,Compras!$B$6:$B$605,$A122,Compras!$C$6:$C$605,"Grande")&gt;0,N($G122)&lt;=$B$5),"G","")),IF(N($H122)&lt;=$B$5,"REPONER",""))))</f>
        <v/>
      </c>
      <c r="J122" s="69" t="n">
        <f aca="false">IF($A122="","",SUMIFS(Ventas!$D$6:$D$605,Ventas!$B$6:$B$605,$A122))</f>
        <v>0</v>
      </c>
      <c r="K122" s="45" t="n">
        <f aca="false">IF($A122="","",SUMIFS(Ventas!$F$6:$F$605,Ventas!$B$6:$B$605,$A122))</f>
        <v>0</v>
      </c>
    </row>
    <row r="123" customFormat="false" ht="15.75" hidden="false" customHeight="true" outlineLevel="0" collapsed="false">
      <c r="A123" s="68" t="str">
        <f aca="false">IF(Costos!$A137="","",Costos!$A137)</f>
        <v/>
      </c>
      <c r="B123" s="68" t="str">
        <f aca="false">IF(Costos!$A137="","",Costos!$B137&amp;"")</f>
        <v/>
      </c>
      <c r="C123" s="68" t="str">
        <f aca="false">IF(Costos!$A137="","",Costos!$C137&amp;"")</f>
        <v/>
      </c>
      <c r="D123" s="69" t="str">
        <f aca="false">IF($A123="","",SUMIFS(Compras!$D$6:$D$605,Compras!$B$6:$B$605,$A123,Compras!$C$6:$C$605,"Único")-SUMIFS(Ventas!$D$6:$D$605,Ventas!$B$6:$B$605,$A123,Ventas!$C$6:$C$605,"Único"))</f>
        <v/>
      </c>
      <c r="E123" s="69" t="str">
        <f aca="false">IF($A123="","",IF(LEFT($C123,6)="Anillo",SUMIFS(Compras!$D$6:$D$605,Compras!$B$6:$B$605,$A123,Compras!$C$6:$C$605,"Chico")-SUMIFS(Ventas!$D$6:$D$605,Ventas!$B$6:$B$605,$A123,Ventas!$C$6:$C$605,"Chico"),""))</f>
        <v/>
      </c>
      <c r="F123" s="69" t="str">
        <f aca="false">IF($A123="","",IF(LEFT($C123,6)="Anillo",SUMIFS(Compras!$D$6:$D$605,Compras!$B$6:$B$605,$A123,Compras!$C$6:$C$605,"Mediano")-SUMIFS(Ventas!$D$6:$D$605,Ventas!$B$6:$B$605,$A123,Ventas!$C$6:$C$605,"Mediano"),""))</f>
        <v/>
      </c>
      <c r="G123" s="69" t="str">
        <f aca="false">IF($A123="","",IF(LEFT($C123,6)="Anillo",SUMIFS(Compras!$D$6:$D$605,Compras!$B$6:$B$605,$A123,Compras!$C$6:$C$605,"Grande")-SUMIFS(Ventas!$D$6:$D$605,Ventas!$B$6:$B$605,$A123,Ventas!$C$6:$C$605,"Grande"),""))</f>
        <v/>
      </c>
      <c r="H123" s="69" t="str">
        <f aca="false">IF($A123="","",N($D123)+N($E123)+N($F123)+N($G123))</f>
        <v/>
      </c>
      <c r="I123" s="70" t="str">
        <f aca="false">IF($A123="","",IF(N($H123)&lt;=0,"SIN STOCK",IF(LEFT($C123,6)="Anillo",IF(IF(AND(SUMIFS(Compras!$D$6:$D$605,Compras!$B$6:$B$605,$A123,Compras!$C$6:$C$605,"Chico")&gt;0,N($E123)&lt;=$B$5),"C ","")&amp;IF(AND(SUMIFS(Compras!$D$6:$D$605,Compras!$B$6:$B$605,$A123,Compras!$C$6:$C$605,"Mediano")&gt;0,N($F123)&lt;=$B$5),"M ","")&amp;IF(AND(SUMIFS(Compras!$D$6:$D$605,Compras!$B$6:$B$605,$A123,Compras!$C$6:$C$605,"Grande")&gt;0,N($G123)&lt;=$B$5),"G","")="","","Reponer "&amp;IF(AND(SUMIFS(Compras!$D$6:$D$605,Compras!$B$6:$B$605,$A123,Compras!$C$6:$C$605,"Chico")&gt;0,N($E123)&lt;=$B$5),"C ","")&amp;IF(AND(SUMIFS(Compras!$D$6:$D$605,Compras!$B$6:$B$605,$A123,Compras!$C$6:$C$605,"Mediano")&gt;0,N($F123)&lt;=$B$5),"M ","")&amp;IF(AND(SUMIFS(Compras!$D$6:$D$605,Compras!$B$6:$B$605,$A123,Compras!$C$6:$C$605,"Grande")&gt;0,N($G123)&lt;=$B$5),"G","")),IF(N($H123)&lt;=$B$5,"REPONER",""))))</f>
        <v/>
      </c>
      <c r="J123" s="69" t="str">
        <f aca="false">IF($A123="","",SUMIFS(Ventas!$D$6:$D$605,Ventas!$B$6:$B$605,$A123))</f>
        <v/>
      </c>
      <c r="K123" s="45" t="str">
        <f aca="false">IF($A123="","",SUMIFS(Ventas!$F$6:$F$605,Ventas!$B$6:$B$605,$A123))</f>
        <v/>
      </c>
    </row>
    <row r="124" customFormat="false" ht="15.75" hidden="false" customHeight="true" outlineLevel="0" collapsed="false">
      <c r="A124" s="68" t="str">
        <f aca="false">IF(Costos!$A138="","",Costos!$A138)</f>
        <v/>
      </c>
      <c r="B124" s="68" t="str">
        <f aca="false">IF(Costos!$A138="","",Costos!$B138&amp;"")</f>
        <v/>
      </c>
      <c r="C124" s="68" t="str">
        <f aca="false">IF(Costos!$A138="","",Costos!$C138&amp;"")</f>
        <v/>
      </c>
      <c r="D124" s="69" t="str">
        <f aca="false">IF($A124="","",SUMIFS(Compras!$D$6:$D$605,Compras!$B$6:$B$605,$A124,Compras!$C$6:$C$605,"Único")-SUMIFS(Ventas!$D$6:$D$605,Ventas!$B$6:$B$605,$A124,Ventas!$C$6:$C$605,"Único"))</f>
        <v/>
      </c>
      <c r="E124" s="69" t="str">
        <f aca="false">IF($A124="","",IF(LEFT($C124,6)="Anillo",SUMIFS(Compras!$D$6:$D$605,Compras!$B$6:$B$605,$A124,Compras!$C$6:$C$605,"Chico")-SUMIFS(Ventas!$D$6:$D$605,Ventas!$B$6:$B$605,$A124,Ventas!$C$6:$C$605,"Chico"),""))</f>
        <v/>
      </c>
      <c r="F124" s="69" t="str">
        <f aca="false">IF($A124="","",IF(LEFT($C124,6)="Anillo",SUMIFS(Compras!$D$6:$D$605,Compras!$B$6:$B$605,$A124,Compras!$C$6:$C$605,"Mediano")-SUMIFS(Ventas!$D$6:$D$605,Ventas!$B$6:$B$605,$A124,Ventas!$C$6:$C$605,"Mediano"),""))</f>
        <v/>
      </c>
      <c r="G124" s="69" t="str">
        <f aca="false">IF($A124="","",IF(LEFT($C124,6)="Anillo",SUMIFS(Compras!$D$6:$D$605,Compras!$B$6:$B$605,$A124,Compras!$C$6:$C$605,"Grande")-SUMIFS(Ventas!$D$6:$D$605,Ventas!$B$6:$B$605,$A124,Ventas!$C$6:$C$605,"Grande"),""))</f>
        <v/>
      </c>
      <c r="H124" s="69" t="str">
        <f aca="false">IF($A124="","",N($D124)+N($E124)+N($F124)+N($G124))</f>
        <v/>
      </c>
      <c r="I124" s="70" t="str">
        <f aca="false">IF($A124="","",IF(N($H124)&lt;=0,"SIN STOCK",IF(LEFT($C124,6)="Anillo",IF(IF(AND(SUMIFS(Compras!$D$6:$D$605,Compras!$B$6:$B$605,$A124,Compras!$C$6:$C$605,"Chico")&gt;0,N($E124)&lt;=$B$5),"C ","")&amp;IF(AND(SUMIFS(Compras!$D$6:$D$605,Compras!$B$6:$B$605,$A124,Compras!$C$6:$C$605,"Mediano")&gt;0,N($F124)&lt;=$B$5),"M ","")&amp;IF(AND(SUMIFS(Compras!$D$6:$D$605,Compras!$B$6:$B$605,$A124,Compras!$C$6:$C$605,"Grande")&gt;0,N($G124)&lt;=$B$5),"G","")="","","Reponer "&amp;IF(AND(SUMIFS(Compras!$D$6:$D$605,Compras!$B$6:$B$605,$A124,Compras!$C$6:$C$605,"Chico")&gt;0,N($E124)&lt;=$B$5),"C ","")&amp;IF(AND(SUMIFS(Compras!$D$6:$D$605,Compras!$B$6:$B$605,$A124,Compras!$C$6:$C$605,"Mediano")&gt;0,N($F124)&lt;=$B$5),"M ","")&amp;IF(AND(SUMIFS(Compras!$D$6:$D$605,Compras!$B$6:$B$605,$A124,Compras!$C$6:$C$605,"Grande")&gt;0,N($G124)&lt;=$B$5),"G","")),IF(N($H124)&lt;=$B$5,"REPONER",""))))</f>
        <v/>
      </c>
      <c r="J124" s="69" t="str">
        <f aca="false">IF($A124="","",SUMIFS(Ventas!$D$6:$D$605,Ventas!$B$6:$B$605,$A124))</f>
        <v/>
      </c>
      <c r="K124" s="45" t="str">
        <f aca="false">IF($A124="","",SUMIFS(Ventas!$F$6:$F$605,Ventas!$B$6:$B$605,$A124))</f>
        <v/>
      </c>
    </row>
    <row r="125" customFormat="false" ht="15.75" hidden="false" customHeight="true" outlineLevel="0" collapsed="false">
      <c r="A125" s="68" t="str">
        <f aca="false">IF(Costos!$A139="","",Costos!$A139)</f>
        <v/>
      </c>
      <c r="B125" s="68" t="str">
        <f aca="false">IF(Costos!$A139="","",Costos!$B139&amp;"")</f>
        <v/>
      </c>
      <c r="C125" s="68" t="str">
        <f aca="false">IF(Costos!$A139="","",Costos!$C139&amp;"")</f>
        <v/>
      </c>
      <c r="D125" s="69" t="str">
        <f aca="false">IF($A125="","",SUMIFS(Compras!$D$6:$D$605,Compras!$B$6:$B$605,$A125,Compras!$C$6:$C$605,"Único")-SUMIFS(Ventas!$D$6:$D$605,Ventas!$B$6:$B$605,$A125,Ventas!$C$6:$C$605,"Único"))</f>
        <v/>
      </c>
      <c r="E125" s="69" t="str">
        <f aca="false">IF($A125="","",IF(LEFT($C125,6)="Anillo",SUMIFS(Compras!$D$6:$D$605,Compras!$B$6:$B$605,$A125,Compras!$C$6:$C$605,"Chico")-SUMIFS(Ventas!$D$6:$D$605,Ventas!$B$6:$B$605,$A125,Ventas!$C$6:$C$605,"Chico"),""))</f>
        <v/>
      </c>
      <c r="F125" s="69" t="str">
        <f aca="false">IF($A125="","",IF(LEFT($C125,6)="Anillo",SUMIFS(Compras!$D$6:$D$605,Compras!$B$6:$B$605,$A125,Compras!$C$6:$C$605,"Mediano")-SUMIFS(Ventas!$D$6:$D$605,Ventas!$B$6:$B$605,$A125,Ventas!$C$6:$C$605,"Mediano"),""))</f>
        <v/>
      </c>
      <c r="G125" s="69" t="str">
        <f aca="false">IF($A125="","",IF(LEFT($C125,6)="Anillo",SUMIFS(Compras!$D$6:$D$605,Compras!$B$6:$B$605,$A125,Compras!$C$6:$C$605,"Grande")-SUMIFS(Ventas!$D$6:$D$605,Ventas!$B$6:$B$605,$A125,Ventas!$C$6:$C$605,"Grande"),""))</f>
        <v/>
      </c>
      <c r="H125" s="69" t="str">
        <f aca="false">IF($A125="","",N($D125)+N($E125)+N($F125)+N($G125))</f>
        <v/>
      </c>
      <c r="I125" s="70" t="str">
        <f aca="false">IF($A125="","",IF(N($H125)&lt;=0,"SIN STOCK",IF(LEFT($C125,6)="Anillo",IF(IF(AND(SUMIFS(Compras!$D$6:$D$605,Compras!$B$6:$B$605,$A125,Compras!$C$6:$C$605,"Chico")&gt;0,N($E125)&lt;=$B$5),"C ","")&amp;IF(AND(SUMIFS(Compras!$D$6:$D$605,Compras!$B$6:$B$605,$A125,Compras!$C$6:$C$605,"Mediano")&gt;0,N($F125)&lt;=$B$5),"M ","")&amp;IF(AND(SUMIFS(Compras!$D$6:$D$605,Compras!$B$6:$B$605,$A125,Compras!$C$6:$C$605,"Grande")&gt;0,N($G125)&lt;=$B$5),"G","")="","","Reponer "&amp;IF(AND(SUMIFS(Compras!$D$6:$D$605,Compras!$B$6:$B$605,$A125,Compras!$C$6:$C$605,"Chico")&gt;0,N($E125)&lt;=$B$5),"C ","")&amp;IF(AND(SUMIFS(Compras!$D$6:$D$605,Compras!$B$6:$B$605,$A125,Compras!$C$6:$C$605,"Mediano")&gt;0,N($F125)&lt;=$B$5),"M ","")&amp;IF(AND(SUMIFS(Compras!$D$6:$D$605,Compras!$B$6:$B$605,$A125,Compras!$C$6:$C$605,"Grande")&gt;0,N($G125)&lt;=$B$5),"G","")),IF(N($H125)&lt;=$B$5,"REPONER",""))))</f>
        <v/>
      </c>
      <c r="J125" s="69" t="str">
        <f aca="false">IF($A125="","",SUMIFS(Ventas!$D$6:$D$605,Ventas!$B$6:$B$605,$A125))</f>
        <v/>
      </c>
      <c r="K125" s="45" t="str">
        <f aca="false">IF($A125="","",SUMIFS(Ventas!$F$6:$F$605,Ventas!$B$6:$B$605,$A125))</f>
        <v/>
      </c>
    </row>
    <row r="126" customFormat="false" ht="15.75" hidden="false" customHeight="true" outlineLevel="0" collapsed="false">
      <c r="A126" s="68" t="str">
        <f aca="false">IF(Costos!$A140="","",Costos!$A140)</f>
        <v/>
      </c>
      <c r="B126" s="68" t="str">
        <f aca="false">IF(Costos!$A140="","",Costos!$B140&amp;"")</f>
        <v/>
      </c>
      <c r="C126" s="68" t="str">
        <f aca="false">IF(Costos!$A140="","",Costos!$C140&amp;"")</f>
        <v/>
      </c>
      <c r="D126" s="69" t="str">
        <f aca="false">IF($A126="","",SUMIFS(Compras!$D$6:$D$605,Compras!$B$6:$B$605,$A126,Compras!$C$6:$C$605,"Único")-SUMIFS(Ventas!$D$6:$D$605,Ventas!$B$6:$B$605,$A126,Ventas!$C$6:$C$605,"Único"))</f>
        <v/>
      </c>
      <c r="E126" s="69" t="str">
        <f aca="false">IF($A126="","",IF(LEFT($C126,6)="Anillo",SUMIFS(Compras!$D$6:$D$605,Compras!$B$6:$B$605,$A126,Compras!$C$6:$C$605,"Chico")-SUMIFS(Ventas!$D$6:$D$605,Ventas!$B$6:$B$605,$A126,Ventas!$C$6:$C$605,"Chico"),""))</f>
        <v/>
      </c>
      <c r="F126" s="69" t="str">
        <f aca="false">IF($A126="","",IF(LEFT($C126,6)="Anillo",SUMIFS(Compras!$D$6:$D$605,Compras!$B$6:$B$605,$A126,Compras!$C$6:$C$605,"Mediano")-SUMIFS(Ventas!$D$6:$D$605,Ventas!$B$6:$B$605,$A126,Ventas!$C$6:$C$605,"Mediano"),""))</f>
        <v/>
      </c>
      <c r="G126" s="69" t="str">
        <f aca="false">IF($A126="","",IF(LEFT($C126,6)="Anillo",SUMIFS(Compras!$D$6:$D$605,Compras!$B$6:$B$605,$A126,Compras!$C$6:$C$605,"Grande")-SUMIFS(Ventas!$D$6:$D$605,Ventas!$B$6:$B$605,$A126,Ventas!$C$6:$C$605,"Grande"),""))</f>
        <v/>
      </c>
      <c r="H126" s="69" t="str">
        <f aca="false">IF($A126="","",N($D126)+N($E126)+N($F126)+N($G126))</f>
        <v/>
      </c>
      <c r="I126" s="70" t="str">
        <f aca="false">IF($A126="","",IF(N($H126)&lt;=0,"SIN STOCK",IF(LEFT($C126,6)="Anillo",IF(IF(AND(SUMIFS(Compras!$D$6:$D$605,Compras!$B$6:$B$605,$A126,Compras!$C$6:$C$605,"Chico")&gt;0,N($E126)&lt;=$B$5),"C ","")&amp;IF(AND(SUMIFS(Compras!$D$6:$D$605,Compras!$B$6:$B$605,$A126,Compras!$C$6:$C$605,"Mediano")&gt;0,N($F126)&lt;=$B$5),"M ","")&amp;IF(AND(SUMIFS(Compras!$D$6:$D$605,Compras!$B$6:$B$605,$A126,Compras!$C$6:$C$605,"Grande")&gt;0,N($G126)&lt;=$B$5),"G","")="","","Reponer "&amp;IF(AND(SUMIFS(Compras!$D$6:$D$605,Compras!$B$6:$B$605,$A126,Compras!$C$6:$C$605,"Chico")&gt;0,N($E126)&lt;=$B$5),"C ","")&amp;IF(AND(SUMIFS(Compras!$D$6:$D$605,Compras!$B$6:$B$605,$A126,Compras!$C$6:$C$605,"Mediano")&gt;0,N($F126)&lt;=$B$5),"M ","")&amp;IF(AND(SUMIFS(Compras!$D$6:$D$605,Compras!$B$6:$B$605,$A126,Compras!$C$6:$C$605,"Grande")&gt;0,N($G126)&lt;=$B$5),"G","")),IF(N($H126)&lt;=$B$5,"REPONER",""))))</f>
        <v/>
      </c>
      <c r="J126" s="69" t="str">
        <f aca="false">IF($A126="","",SUMIFS(Ventas!$D$6:$D$605,Ventas!$B$6:$B$605,$A126))</f>
        <v/>
      </c>
      <c r="K126" s="45" t="str">
        <f aca="false">IF($A126="","",SUMIFS(Ventas!$F$6:$F$605,Ventas!$B$6:$B$605,$A126))</f>
        <v/>
      </c>
    </row>
    <row r="127" customFormat="false" ht="15.75" hidden="false" customHeight="true" outlineLevel="0" collapsed="false">
      <c r="A127" s="68" t="str">
        <f aca="false">IF(Costos!$A141="","",Costos!$A141)</f>
        <v/>
      </c>
      <c r="B127" s="68" t="str">
        <f aca="false">IF(Costos!$A141="","",Costos!$B141&amp;"")</f>
        <v/>
      </c>
      <c r="C127" s="68" t="str">
        <f aca="false">IF(Costos!$A141="","",Costos!$C141&amp;"")</f>
        <v/>
      </c>
      <c r="D127" s="69" t="str">
        <f aca="false">IF($A127="","",SUMIFS(Compras!$D$6:$D$605,Compras!$B$6:$B$605,$A127,Compras!$C$6:$C$605,"Único")-SUMIFS(Ventas!$D$6:$D$605,Ventas!$B$6:$B$605,$A127,Ventas!$C$6:$C$605,"Único"))</f>
        <v/>
      </c>
      <c r="E127" s="69" t="str">
        <f aca="false">IF($A127="","",IF(LEFT($C127,6)="Anillo",SUMIFS(Compras!$D$6:$D$605,Compras!$B$6:$B$605,$A127,Compras!$C$6:$C$605,"Chico")-SUMIFS(Ventas!$D$6:$D$605,Ventas!$B$6:$B$605,$A127,Ventas!$C$6:$C$605,"Chico"),""))</f>
        <v/>
      </c>
      <c r="F127" s="69" t="str">
        <f aca="false">IF($A127="","",IF(LEFT($C127,6)="Anillo",SUMIFS(Compras!$D$6:$D$605,Compras!$B$6:$B$605,$A127,Compras!$C$6:$C$605,"Mediano")-SUMIFS(Ventas!$D$6:$D$605,Ventas!$B$6:$B$605,$A127,Ventas!$C$6:$C$605,"Mediano"),""))</f>
        <v/>
      </c>
      <c r="G127" s="69" t="str">
        <f aca="false">IF($A127="","",IF(LEFT($C127,6)="Anillo",SUMIFS(Compras!$D$6:$D$605,Compras!$B$6:$B$605,$A127,Compras!$C$6:$C$605,"Grande")-SUMIFS(Ventas!$D$6:$D$605,Ventas!$B$6:$B$605,$A127,Ventas!$C$6:$C$605,"Grande"),""))</f>
        <v/>
      </c>
      <c r="H127" s="69" t="str">
        <f aca="false">IF($A127="","",N($D127)+N($E127)+N($F127)+N($G127))</f>
        <v/>
      </c>
      <c r="I127" s="70" t="str">
        <f aca="false">IF($A127="","",IF(N($H127)&lt;=0,"SIN STOCK",IF(LEFT($C127,6)="Anillo",IF(IF(AND(SUMIFS(Compras!$D$6:$D$605,Compras!$B$6:$B$605,$A127,Compras!$C$6:$C$605,"Chico")&gt;0,N($E127)&lt;=$B$5),"C ","")&amp;IF(AND(SUMIFS(Compras!$D$6:$D$605,Compras!$B$6:$B$605,$A127,Compras!$C$6:$C$605,"Mediano")&gt;0,N($F127)&lt;=$B$5),"M ","")&amp;IF(AND(SUMIFS(Compras!$D$6:$D$605,Compras!$B$6:$B$605,$A127,Compras!$C$6:$C$605,"Grande")&gt;0,N($G127)&lt;=$B$5),"G","")="","","Reponer "&amp;IF(AND(SUMIFS(Compras!$D$6:$D$605,Compras!$B$6:$B$605,$A127,Compras!$C$6:$C$605,"Chico")&gt;0,N($E127)&lt;=$B$5),"C ","")&amp;IF(AND(SUMIFS(Compras!$D$6:$D$605,Compras!$B$6:$B$605,$A127,Compras!$C$6:$C$605,"Mediano")&gt;0,N($F127)&lt;=$B$5),"M ","")&amp;IF(AND(SUMIFS(Compras!$D$6:$D$605,Compras!$B$6:$B$605,$A127,Compras!$C$6:$C$605,"Grande")&gt;0,N($G127)&lt;=$B$5),"G","")),IF(N($H127)&lt;=$B$5,"REPONER",""))))</f>
        <v/>
      </c>
      <c r="J127" s="69" t="str">
        <f aca="false">IF($A127="","",SUMIFS(Ventas!$D$6:$D$605,Ventas!$B$6:$B$605,$A127))</f>
        <v/>
      </c>
      <c r="K127" s="45" t="str">
        <f aca="false">IF($A127="","",SUMIFS(Ventas!$F$6:$F$605,Ventas!$B$6:$B$605,$A127))</f>
        <v/>
      </c>
    </row>
    <row r="128" customFormat="false" ht="15.75" hidden="false" customHeight="true" outlineLevel="0" collapsed="false">
      <c r="A128" s="68" t="str">
        <f aca="false">IF(Costos!$A142="","",Costos!$A142)</f>
        <v/>
      </c>
      <c r="B128" s="68" t="str">
        <f aca="false">IF(Costos!$A142="","",Costos!$B142&amp;"")</f>
        <v/>
      </c>
      <c r="C128" s="68" t="str">
        <f aca="false">IF(Costos!$A142="","",Costos!$C142&amp;"")</f>
        <v/>
      </c>
      <c r="D128" s="69" t="str">
        <f aca="false">IF($A128="","",SUMIFS(Compras!$D$6:$D$605,Compras!$B$6:$B$605,$A128,Compras!$C$6:$C$605,"Único")-SUMIFS(Ventas!$D$6:$D$605,Ventas!$B$6:$B$605,$A128,Ventas!$C$6:$C$605,"Único"))</f>
        <v/>
      </c>
      <c r="E128" s="69" t="str">
        <f aca="false">IF($A128="","",IF(LEFT($C128,6)="Anillo",SUMIFS(Compras!$D$6:$D$605,Compras!$B$6:$B$605,$A128,Compras!$C$6:$C$605,"Chico")-SUMIFS(Ventas!$D$6:$D$605,Ventas!$B$6:$B$605,$A128,Ventas!$C$6:$C$605,"Chico"),""))</f>
        <v/>
      </c>
      <c r="F128" s="69" t="str">
        <f aca="false">IF($A128="","",IF(LEFT($C128,6)="Anillo",SUMIFS(Compras!$D$6:$D$605,Compras!$B$6:$B$605,$A128,Compras!$C$6:$C$605,"Mediano")-SUMIFS(Ventas!$D$6:$D$605,Ventas!$B$6:$B$605,$A128,Ventas!$C$6:$C$605,"Mediano"),""))</f>
        <v/>
      </c>
      <c r="G128" s="69" t="str">
        <f aca="false">IF($A128="","",IF(LEFT($C128,6)="Anillo",SUMIFS(Compras!$D$6:$D$605,Compras!$B$6:$B$605,$A128,Compras!$C$6:$C$605,"Grande")-SUMIFS(Ventas!$D$6:$D$605,Ventas!$B$6:$B$605,$A128,Ventas!$C$6:$C$605,"Grande"),""))</f>
        <v/>
      </c>
      <c r="H128" s="69" t="str">
        <f aca="false">IF($A128="","",N($D128)+N($E128)+N($F128)+N($G128))</f>
        <v/>
      </c>
      <c r="I128" s="70" t="str">
        <f aca="false">IF($A128="","",IF(N($H128)&lt;=0,"SIN STOCK",IF(LEFT($C128,6)="Anillo",IF(IF(AND(SUMIFS(Compras!$D$6:$D$605,Compras!$B$6:$B$605,$A128,Compras!$C$6:$C$605,"Chico")&gt;0,N($E128)&lt;=$B$5),"C ","")&amp;IF(AND(SUMIFS(Compras!$D$6:$D$605,Compras!$B$6:$B$605,$A128,Compras!$C$6:$C$605,"Mediano")&gt;0,N($F128)&lt;=$B$5),"M ","")&amp;IF(AND(SUMIFS(Compras!$D$6:$D$605,Compras!$B$6:$B$605,$A128,Compras!$C$6:$C$605,"Grande")&gt;0,N($G128)&lt;=$B$5),"G","")="","","Reponer "&amp;IF(AND(SUMIFS(Compras!$D$6:$D$605,Compras!$B$6:$B$605,$A128,Compras!$C$6:$C$605,"Chico")&gt;0,N($E128)&lt;=$B$5),"C ","")&amp;IF(AND(SUMIFS(Compras!$D$6:$D$605,Compras!$B$6:$B$605,$A128,Compras!$C$6:$C$605,"Mediano")&gt;0,N($F128)&lt;=$B$5),"M ","")&amp;IF(AND(SUMIFS(Compras!$D$6:$D$605,Compras!$B$6:$B$605,$A128,Compras!$C$6:$C$605,"Grande")&gt;0,N($G128)&lt;=$B$5),"G","")),IF(N($H128)&lt;=$B$5,"REPONER",""))))</f>
        <v/>
      </c>
      <c r="J128" s="69" t="str">
        <f aca="false">IF($A128="","",SUMIFS(Ventas!$D$6:$D$605,Ventas!$B$6:$B$605,$A128))</f>
        <v/>
      </c>
      <c r="K128" s="45" t="str">
        <f aca="false">IF($A128="","",SUMIFS(Ventas!$F$6:$F$605,Ventas!$B$6:$B$605,$A128))</f>
        <v/>
      </c>
    </row>
    <row r="129" customFormat="false" ht="15.75" hidden="false" customHeight="true" outlineLevel="0" collapsed="false">
      <c r="A129" s="68" t="str">
        <f aca="false">IF(Costos!$A143="","",Costos!$A143)</f>
        <v/>
      </c>
      <c r="B129" s="68" t="str">
        <f aca="false">IF(Costos!$A143="","",Costos!$B143&amp;"")</f>
        <v/>
      </c>
      <c r="C129" s="68" t="str">
        <f aca="false">IF(Costos!$A143="","",Costos!$C143&amp;"")</f>
        <v/>
      </c>
      <c r="D129" s="69" t="str">
        <f aca="false">IF($A129="","",SUMIFS(Compras!$D$6:$D$605,Compras!$B$6:$B$605,$A129,Compras!$C$6:$C$605,"Único")-SUMIFS(Ventas!$D$6:$D$605,Ventas!$B$6:$B$605,$A129,Ventas!$C$6:$C$605,"Único"))</f>
        <v/>
      </c>
      <c r="E129" s="69" t="str">
        <f aca="false">IF($A129="","",IF(LEFT($C129,6)="Anillo",SUMIFS(Compras!$D$6:$D$605,Compras!$B$6:$B$605,$A129,Compras!$C$6:$C$605,"Chico")-SUMIFS(Ventas!$D$6:$D$605,Ventas!$B$6:$B$605,$A129,Ventas!$C$6:$C$605,"Chico"),""))</f>
        <v/>
      </c>
      <c r="F129" s="69" t="str">
        <f aca="false">IF($A129="","",IF(LEFT($C129,6)="Anillo",SUMIFS(Compras!$D$6:$D$605,Compras!$B$6:$B$605,$A129,Compras!$C$6:$C$605,"Mediano")-SUMIFS(Ventas!$D$6:$D$605,Ventas!$B$6:$B$605,$A129,Ventas!$C$6:$C$605,"Mediano"),""))</f>
        <v/>
      </c>
      <c r="G129" s="69" t="str">
        <f aca="false">IF($A129="","",IF(LEFT($C129,6)="Anillo",SUMIFS(Compras!$D$6:$D$605,Compras!$B$6:$B$605,$A129,Compras!$C$6:$C$605,"Grande")-SUMIFS(Ventas!$D$6:$D$605,Ventas!$B$6:$B$605,$A129,Ventas!$C$6:$C$605,"Grande"),""))</f>
        <v/>
      </c>
      <c r="H129" s="69" t="str">
        <f aca="false">IF($A129="","",N($D129)+N($E129)+N($F129)+N($G129))</f>
        <v/>
      </c>
      <c r="I129" s="70" t="str">
        <f aca="false">IF($A129="","",IF(N($H129)&lt;=0,"SIN STOCK",IF(LEFT($C129,6)="Anillo",IF(IF(AND(SUMIFS(Compras!$D$6:$D$605,Compras!$B$6:$B$605,$A129,Compras!$C$6:$C$605,"Chico")&gt;0,N($E129)&lt;=$B$5),"C ","")&amp;IF(AND(SUMIFS(Compras!$D$6:$D$605,Compras!$B$6:$B$605,$A129,Compras!$C$6:$C$605,"Mediano")&gt;0,N($F129)&lt;=$B$5),"M ","")&amp;IF(AND(SUMIFS(Compras!$D$6:$D$605,Compras!$B$6:$B$605,$A129,Compras!$C$6:$C$605,"Grande")&gt;0,N($G129)&lt;=$B$5),"G","")="","","Reponer "&amp;IF(AND(SUMIFS(Compras!$D$6:$D$605,Compras!$B$6:$B$605,$A129,Compras!$C$6:$C$605,"Chico")&gt;0,N($E129)&lt;=$B$5),"C ","")&amp;IF(AND(SUMIFS(Compras!$D$6:$D$605,Compras!$B$6:$B$605,$A129,Compras!$C$6:$C$605,"Mediano")&gt;0,N($F129)&lt;=$B$5),"M ","")&amp;IF(AND(SUMIFS(Compras!$D$6:$D$605,Compras!$B$6:$B$605,$A129,Compras!$C$6:$C$605,"Grande")&gt;0,N($G129)&lt;=$B$5),"G","")),IF(N($H129)&lt;=$B$5,"REPONER",""))))</f>
        <v/>
      </c>
      <c r="J129" s="69" t="str">
        <f aca="false">IF($A129="","",SUMIFS(Ventas!$D$6:$D$605,Ventas!$B$6:$B$605,$A129))</f>
        <v/>
      </c>
      <c r="K129" s="45" t="str">
        <f aca="false">IF($A129="","",SUMIFS(Ventas!$F$6:$F$605,Ventas!$B$6:$B$605,$A129))</f>
        <v/>
      </c>
    </row>
    <row r="130" customFormat="false" ht="15.75" hidden="false" customHeight="true" outlineLevel="0" collapsed="false">
      <c r="A130" s="68" t="str">
        <f aca="false">IF(Costos!$A144="","",Costos!$A144)</f>
        <v/>
      </c>
      <c r="B130" s="68" t="str">
        <f aca="false">IF(Costos!$A144="","",Costos!$B144&amp;"")</f>
        <v/>
      </c>
      <c r="C130" s="68" t="str">
        <f aca="false">IF(Costos!$A144="","",Costos!$C144&amp;"")</f>
        <v/>
      </c>
      <c r="D130" s="69" t="str">
        <f aca="false">IF($A130="","",SUMIFS(Compras!$D$6:$D$605,Compras!$B$6:$B$605,$A130,Compras!$C$6:$C$605,"Único")-SUMIFS(Ventas!$D$6:$D$605,Ventas!$B$6:$B$605,$A130,Ventas!$C$6:$C$605,"Único"))</f>
        <v/>
      </c>
      <c r="E130" s="69" t="str">
        <f aca="false">IF($A130="","",IF(LEFT($C130,6)="Anillo",SUMIFS(Compras!$D$6:$D$605,Compras!$B$6:$B$605,$A130,Compras!$C$6:$C$605,"Chico")-SUMIFS(Ventas!$D$6:$D$605,Ventas!$B$6:$B$605,$A130,Ventas!$C$6:$C$605,"Chico"),""))</f>
        <v/>
      </c>
      <c r="F130" s="69" t="str">
        <f aca="false">IF($A130="","",IF(LEFT($C130,6)="Anillo",SUMIFS(Compras!$D$6:$D$605,Compras!$B$6:$B$605,$A130,Compras!$C$6:$C$605,"Mediano")-SUMIFS(Ventas!$D$6:$D$605,Ventas!$B$6:$B$605,$A130,Ventas!$C$6:$C$605,"Mediano"),""))</f>
        <v/>
      </c>
      <c r="G130" s="69" t="str">
        <f aca="false">IF($A130="","",IF(LEFT($C130,6)="Anillo",SUMIFS(Compras!$D$6:$D$605,Compras!$B$6:$B$605,$A130,Compras!$C$6:$C$605,"Grande")-SUMIFS(Ventas!$D$6:$D$605,Ventas!$B$6:$B$605,$A130,Ventas!$C$6:$C$605,"Grande"),""))</f>
        <v/>
      </c>
      <c r="H130" s="69" t="str">
        <f aca="false">IF($A130="","",N($D130)+N($E130)+N($F130)+N($G130))</f>
        <v/>
      </c>
      <c r="I130" s="70" t="str">
        <f aca="false">IF($A130="","",IF(N($H130)&lt;=0,"SIN STOCK",IF(LEFT($C130,6)="Anillo",IF(IF(AND(SUMIFS(Compras!$D$6:$D$605,Compras!$B$6:$B$605,$A130,Compras!$C$6:$C$605,"Chico")&gt;0,N($E130)&lt;=$B$5),"C ","")&amp;IF(AND(SUMIFS(Compras!$D$6:$D$605,Compras!$B$6:$B$605,$A130,Compras!$C$6:$C$605,"Mediano")&gt;0,N($F130)&lt;=$B$5),"M ","")&amp;IF(AND(SUMIFS(Compras!$D$6:$D$605,Compras!$B$6:$B$605,$A130,Compras!$C$6:$C$605,"Grande")&gt;0,N($G130)&lt;=$B$5),"G","")="","","Reponer "&amp;IF(AND(SUMIFS(Compras!$D$6:$D$605,Compras!$B$6:$B$605,$A130,Compras!$C$6:$C$605,"Chico")&gt;0,N($E130)&lt;=$B$5),"C ","")&amp;IF(AND(SUMIFS(Compras!$D$6:$D$605,Compras!$B$6:$B$605,$A130,Compras!$C$6:$C$605,"Mediano")&gt;0,N($F130)&lt;=$B$5),"M ","")&amp;IF(AND(SUMIFS(Compras!$D$6:$D$605,Compras!$B$6:$B$605,$A130,Compras!$C$6:$C$605,"Grande")&gt;0,N($G130)&lt;=$B$5),"G","")),IF(N($H130)&lt;=$B$5,"REPONER",""))))</f>
        <v/>
      </c>
      <c r="J130" s="69" t="str">
        <f aca="false">IF($A130="","",SUMIFS(Ventas!$D$6:$D$605,Ventas!$B$6:$B$605,$A130))</f>
        <v/>
      </c>
      <c r="K130" s="45" t="str">
        <f aca="false">IF($A130="","",SUMIFS(Ventas!$F$6:$F$605,Ventas!$B$6:$B$605,$A130))</f>
        <v/>
      </c>
    </row>
    <row r="131" customFormat="false" ht="15.75" hidden="false" customHeight="true" outlineLevel="0" collapsed="false">
      <c r="A131" s="68" t="str">
        <f aca="false">IF(Costos!$A145="","",Costos!$A145)</f>
        <v/>
      </c>
      <c r="B131" s="68" t="str">
        <f aca="false">IF(Costos!$A145="","",Costos!$B145&amp;"")</f>
        <v/>
      </c>
      <c r="C131" s="68" t="str">
        <f aca="false">IF(Costos!$A145="","",Costos!$C145&amp;"")</f>
        <v/>
      </c>
      <c r="D131" s="69" t="str">
        <f aca="false">IF($A131="","",SUMIFS(Compras!$D$6:$D$605,Compras!$B$6:$B$605,$A131,Compras!$C$6:$C$605,"Único")-SUMIFS(Ventas!$D$6:$D$605,Ventas!$B$6:$B$605,$A131,Ventas!$C$6:$C$605,"Único"))</f>
        <v/>
      </c>
      <c r="E131" s="69" t="str">
        <f aca="false">IF($A131="","",IF(LEFT($C131,6)="Anillo",SUMIFS(Compras!$D$6:$D$605,Compras!$B$6:$B$605,$A131,Compras!$C$6:$C$605,"Chico")-SUMIFS(Ventas!$D$6:$D$605,Ventas!$B$6:$B$605,$A131,Ventas!$C$6:$C$605,"Chico"),""))</f>
        <v/>
      </c>
      <c r="F131" s="69" t="str">
        <f aca="false">IF($A131="","",IF(LEFT($C131,6)="Anillo",SUMIFS(Compras!$D$6:$D$605,Compras!$B$6:$B$605,$A131,Compras!$C$6:$C$605,"Mediano")-SUMIFS(Ventas!$D$6:$D$605,Ventas!$B$6:$B$605,$A131,Ventas!$C$6:$C$605,"Mediano"),""))</f>
        <v/>
      </c>
      <c r="G131" s="69" t="str">
        <f aca="false">IF($A131="","",IF(LEFT($C131,6)="Anillo",SUMIFS(Compras!$D$6:$D$605,Compras!$B$6:$B$605,$A131,Compras!$C$6:$C$605,"Grande")-SUMIFS(Ventas!$D$6:$D$605,Ventas!$B$6:$B$605,$A131,Ventas!$C$6:$C$605,"Grande"),""))</f>
        <v/>
      </c>
      <c r="H131" s="69" t="str">
        <f aca="false">IF($A131="","",N($D131)+N($E131)+N($F131)+N($G131))</f>
        <v/>
      </c>
      <c r="I131" s="70" t="str">
        <f aca="false">IF($A131="","",IF(N($H131)&lt;=0,"SIN STOCK",IF(LEFT($C131,6)="Anillo",IF(IF(AND(SUMIFS(Compras!$D$6:$D$605,Compras!$B$6:$B$605,$A131,Compras!$C$6:$C$605,"Chico")&gt;0,N($E131)&lt;=$B$5),"C ","")&amp;IF(AND(SUMIFS(Compras!$D$6:$D$605,Compras!$B$6:$B$605,$A131,Compras!$C$6:$C$605,"Mediano")&gt;0,N($F131)&lt;=$B$5),"M ","")&amp;IF(AND(SUMIFS(Compras!$D$6:$D$605,Compras!$B$6:$B$605,$A131,Compras!$C$6:$C$605,"Grande")&gt;0,N($G131)&lt;=$B$5),"G","")="","","Reponer "&amp;IF(AND(SUMIFS(Compras!$D$6:$D$605,Compras!$B$6:$B$605,$A131,Compras!$C$6:$C$605,"Chico")&gt;0,N($E131)&lt;=$B$5),"C ","")&amp;IF(AND(SUMIFS(Compras!$D$6:$D$605,Compras!$B$6:$B$605,$A131,Compras!$C$6:$C$605,"Mediano")&gt;0,N($F131)&lt;=$B$5),"M ","")&amp;IF(AND(SUMIFS(Compras!$D$6:$D$605,Compras!$B$6:$B$605,$A131,Compras!$C$6:$C$605,"Grande")&gt;0,N($G131)&lt;=$B$5),"G","")),IF(N($H131)&lt;=$B$5,"REPONER",""))))</f>
        <v/>
      </c>
      <c r="J131" s="69" t="str">
        <f aca="false">IF($A131="","",SUMIFS(Ventas!$D$6:$D$605,Ventas!$B$6:$B$605,$A131))</f>
        <v/>
      </c>
      <c r="K131" s="45" t="str">
        <f aca="false">IF($A131="","",SUMIFS(Ventas!$F$6:$F$605,Ventas!$B$6:$B$605,$A131))</f>
        <v/>
      </c>
    </row>
    <row r="132" customFormat="false" ht="15.75" hidden="false" customHeight="true" outlineLevel="0" collapsed="false">
      <c r="A132" s="68" t="str">
        <f aca="false">IF(Costos!$A146="","",Costos!$A146)</f>
        <v/>
      </c>
      <c r="B132" s="68" t="str">
        <f aca="false">IF(Costos!$A146="","",Costos!$B146&amp;"")</f>
        <v/>
      </c>
      <c r="C132" s="68" t="str">
        <f aca="false">IF(Costos!$A146="","",Costos!$C146&amp;"")</f>
        <v/>
      </c>
      <c r="D132" s="69" t="str">
        <f aca="false">IF($A132="","",SUMIFS(Compras!$D$6:$D$605,Compras!$B$6:$B$605,$A132,Compras!$C$6:$C$605,"Único")-SUMIFS(Ventas!$D$6:$D$605,Ventas!$B$6:$B$605,$A132,Ventas!$C$6:$C$605,"Único"))</f>
        <v/>
      </c>
      <c r="E132" s="69" t="str">
        <f aca="false">IF($A132="","",IF(LEFT($C132,6)="Anillo",SUMIFS(Compras!$D$6:$D$605,Compras!$B$6:$B$605,$A132,Compras!$C$6:$C$605,"Chico")-SUMIFS(Ventas!$D$6:$D$605,Ventas!$B$6:$B$605,$A132,Ventas!$C$6:$C$605,"Chico"),""))</f>
        <v/>
      </c>
      <c r="F132" s="69" t="str">
        <f aca="false">IF($A132="","",IF(LEFT($C132,6)="Anillo",SUMIFS(Compras!$D$6:$D$605,Compras!$B$6:$B$605,$A132,Compras!$C$6:$C$605,"Mediano")-SUMIFS(Ventas!$D$6:$D$605,Ventas!$B$6:$B$605,$A132,Ventas!$C$6:$C$605,"Mediano"),""))</f>
        <v/>
      </c>
      <c r="G132" s="69" t="str">
        <f aca="false">IF($A132="","",IF(LEFT($C132,6)="Anillo",SUMIFS(Compras!$D$6:$D$605,Compras!$B$6:$B$605,$A132,Compras!$C$6:$C$605,"Grande")-SUMIFS(Ventas!$D$6:$D$605,Ventas!$B$6:$B$605,$A132,Ventas!$C$6:$C$605,"Grande"),""))</f>
        <v/>
      </c>
      <c r="H132" s="69" t="str">
        <f aca="false">IF($A132="","",N($D132)+N($E132)+N($F132)+N($G132))</f>
        <v/>
      </c>
      <c r="I132" s="70" t="str">
        <f aca="false">IF($A132="","",IF(N($H132)&lt;=0,"SIN STOCK",IF(LEFT($C132,6)="Anillo",IF(IF(AND(SUMIFS(Compras!$D$6:$D$605,Compras!$B$6:$B$605,$A132,Compras!$C$6:$C$605,"Chico")&gt;0,N($E132)&lt;=$B$5),"C ","")&amp;IF(AND(SUMIFS(Compras!$D$6:$D$605,Compras!$B$6:$B$605,$A132,Compras!$C$6:$C$605,"Mediano")&gt;0,N($F132)&lt;=$B$5),"M ","")&amp;IF(AND(SUMIFS(Compras!$D$6:$D$605,Compras!$B$6:$B$605,$A132,Compras!$C$6:$C$605,"Grande")&gt;0,N($G132)&lt;=$B$5),"G","")="","","Reponer "&amp;IF(AND(SUMIFS(Compras!$D$6:$D$605,Compras!$B$6:$B$605,$A132,Compras!$C$6:$C$605,"Chico")&gt;0,N($E132)&lt;=$B$5),"C ","")&amp;IF(AND(SUMIFS(Compras!$D$6:$D$605,Compras!$B$6:$B$605,$A132,Compras!$C$6:$C$605,"Mediano")&gt;0,N($F132)&lt;=$B$5),"M ","")&amp;IF(AND(SUMIFS(Compras!$D$6:$D$605,Compras!$B$6:$B$605,$A132,Compras!$C$6:$C$605,"Grande")&gt;0,N($G132)&lt;=$B$5),"G","")),IF(N($H132)&lt;=$B$5,"REPONER",""))))</f>
        <v/>
      </c>
      <c r="J132" s="69" t="str">
        <f aca="false">IF($A132="","",SUMIFS(Ventas!$D$6:$D$605,Ventas!$B$6:$B$605,$A132))</f>
        <v/>
      </c>
      <c r="K132" s="45" t="str">
        <f aca="false">IF($A132="","",SUMIFS(Ventas!$F$6:$F$605,Ventas!$B$6:$B$605,$A132))</f>
        <v/>
      </c>
    </row>
    <row r="133" customFormat="false" ht="15.75" hidden="false" customHeight="true" outlineLevel="0" collapsed="false">
      <c r="A133" s="68" t="str">
        <f aca="false">IF(Costos!$A147="","",Costos!$A147)</f>
        <v/>
      </c>
      <c r="B133" s="68" t="str">
        <f aca="false">IF(Costos!$A147="","",Costos!$B147&amp;"")</f>
        <v/>
      </c>
      <c r="C133" s="68" t="str">
        <f aca="false">IF(Costos!$A147="","",Costos!$C147&amp;"")</f>
        <v/>
      </c>
      <c r="D133" s="69" t="str">
        <f aca="false">IF($A133="","",SUMIFS(Compras!$D$6:$D$605,Compras!$B$6:$B$605,$A133,Compras!$C$6:$C$605,"Único")-SUMIFS(Ventas!$D$6:$D$605,Ventas!$B$6:$B$605,$A133,Ventas!$C$6:$C$605,"Único"))</f>
        <v/>
      </c>
      <c r="E133" s="69" t="str">
        <f aca="false">IF($A133="","",IF(LEFT($C133,6)="Anillo",SUMIFS(Compras!$D$6:$D$605,Compras!$B$6:$B$605,$A133,Compras!$C$6:$C$605,"Chico")-SUMIFS(Ventas!$D$6:$D$605,Ventas!$B$6:$B$605,$A133,Ventas!$C$6:$C$605,"Chico"),""))</f>
        <v/>
      </c>
      <c r="F133" s="69" t="str">
        <f aca="false">IF($A133="","",IF(LEFT($C133,6)="Anillo",SUMIFS(Compras!$D$6:$D$605,Compras!$B$6:$B$605,$A133,Compras!$C$6:$C$605,"Mediano")-SUMIFS(Ventas!$D$6:$D$605,Ventas!$B$6:$B$605,$A133,Ventas!$C$6:$C$605,"Mediano"),""))</f>
        <v/>
      </c>
      <c r="G133" s="69" t="str">
        <f aca="false">IF($A133="","",IF(LEFT($C133,6)="Anillo",SUMIFS(Compras!$D$6:$D$605,Compras!$B$6:$B$605,$A133,Compras!$C$6:$C$605,"Grande")-SUMIFS(Ventas!$D$6:$D$605,Ventas!$B$6:$B$605,$A133,Ventas!$C$6:$C$605,"Grande"),""))</f>
        <v/>
      </c>
      <c r="H133" s="69" t="str">
        <f aca="false">IF($A133="","",N($D133)+N($E133)+N($F133)+N($G133))</f>
        <v/>
      </c>
      <c r="I133" s="70" t="str">
        <f aca="false">IF($A133="","",IF(N($H133)&lt;=0,"SIN STOCK",IF(LEFT($C133,6)="Anillo",IF(IF(AND(SUMIFS(Compras!$D$6:$D$605,Compras!$B$6:$B$605,$A133,Compras!$C$6:$C$605,"Chico")&gt;0,N($E133)&lt;=$B$5),"C ","")&amp;IF(AND(SUMIFS(Compras!$D$6:$D$605,Compras!$B$6:$B$605,$A133,Compras!$C$6:$C$605,"Mediano")&gt;0,N($F133)&lt;=$B$5),"M ","")&amp;IF(AND(SUMIFS(Compras!$D$6:$D$605,Compras!$B$6:$B$605,$A133,Compras!$C$6:$C$605,"Grande")&gt;0,N($G133)&lt;=$B$5),"G","")="","","Reponer "&amp;IF(AND(SUMIFS(Compras!$D$6:$D$605,Compras!$B$6:$B$605,$A133,Compras!$C$6:$C$605,"Chico")&gt;0,N($E133)&lt;=$B$5),"C ","")&amp;IF(AND(SUMIFS(Compras!$D$6:$D$605,Compras!$B$6:$B$605,$A133,Compras!$C$6:$C$605,"Mediano")&gt;0,N($F133)&lt;=$B$5),"M ","")&amp;IF(AND(SUMIFS(Compras!$D$6:$D$605,Compras!$B$6:$B$605,$A133,Compras!$C$6:$C$605,"Grande")&gt;0,N($G133)&lt;=$B$5),"G","")),IF(N($H133)&lt;=$B$5,"REPONER",""))))</f>
        <v/>
      </c>
      <c r="J133" s="69" t="str">
        <f aca="false">IF($A133="","",SUMIFS(Ventas!$D$6:$D$605,Ventas!$B$6:$B$605,$A133))</f>
        <v/>
      </c>
      <c r="K133" s="45" t="str">
        <f aca="false">IF($A133="","",SUMIFS(Ventas!$F$6:$F$605,Ventas!$B$6:$B$605,$A133))</f>
        <v/>
      </c>
    </row>
    <row r="134" customFormat="false" ht="15.75" hidden="false" customHeight="true" outlineLevel="0" collapsed="false">
      <c r="A134" s="68" t="str">
        <f aca="false">IF(Costos!$A148="","",Costos!$A148)</f>
        <v/>
      </c>
      <c r="B134" s="68" t="str">
        <f aca="false">IF(Costos!$A148="","",Costos!$B148&amp;"")</f>
        <v/>
      </c>
      <c r="C134" s="68" t="str">
        <f aca="false">IF(Costos!$A148="","",Costos!$C148&amp;"")</f>
        <v/>
      </c>
      <c r="D134" s="69" t="str">
        <f aca="false">IF($A134="","",SUMIFS(Compras!$D$6:$D$605,Compras!$B$6:$B$605,$A134,Compras!$C$6:$C$605,"Único")-SUMIFS(Ventas!$D$6:$D$605,Ventas!$B$6:$B$605,$A134,Ventas!$C$6:$C$605,"Único"))</f>
        <v/>
      </c>
      <c r="E134" s="69" t="str">
        <f aca="false">IF($A134="","",IF(LEFT($C134,6)="Anillo",SUMIFS(Compras!$D$6:$D$605,Compras!$B$6:$B$605,$A134,Compras!$C$6:$C$605,"Chico")-SUMIFS(Ventas!$D$6:$D$605,Ventas!$B$6:$B$605,$A134,Ventas!$C$6:$C$605,"Chico"),""))</f>
        <v/>
      </c>
      <c r="F134" s="69" t="str">
        <f aca="false">IF($A134="","",IF(LEFT($C134,6)="Anillo",SUMIFS(Compras!$D$6:$D$605,Compras!$B$6:$B$605,$A134,Compras!$C$6:$C$605,"Mediano")-SUMIFS(Ventas!$D$6:$D$605,Ventas!$B$6:$B$605,$A134,Ventas!$C$6:$C$605,"Mediano"),""))</f>
        <v/>
      </c>
      <c r="G134" s="69" t="str">
        <f aca="false">IF($A134="","",IF(LEFT($C134,6)="Anillo",SUMIFS(Compras!$D$6:$D$605,Compras!$B$6:$B$605,$A134,Compras!$C$6:$C$605,"Grande")-SUMIFS(Ventas!$D$6:$D$605,Ventas!$B$6:$B$605,$A134,Ventas!$C$6:$C$605,"Grande"),""))</f>
        <v/>
      </c>
      <c r="H134" s="69" t="str">
        <f aca="false">IF($A134="","",N($D134)+N($E134)+N($F134)+N($G134))</f>
        <v/>
      </c>
      <c r="I134" s="70" t="str">
        <f aca="false">IF($A134="","",IF(N($H134)&lt;=0,"SIN STOCK",IF(LEFT($C134,6)="Anillo",IF(IF(AND(SUMIFS(Compras!$D$6:$D$605,Compras!$B$6:$B$605,$A134,Compras!$C$6:$C$605,"Chico")&gt;0,N($E134)&lt;=$B$5),"C ","")&amp;IF(AND(SUMIFS(Compras!$D$6:$D$605,Compras!$B$6:$B$605,$A134,Compras!$C$6:$C$605,"Mediano")&gt;0,N($F134)&lt;=$B$5),"M ","")&amp;IF(AND(SUMIFS(Compras!$D$6:$D$605,Compras!$B$6:$B$605,$A134,Compras!$C$6:$C$605,"Grande")&gt;0,N($G134)&lt;=$B$5),"G","")="","","Reponer "&amp;IF(AND(SUMIFS(Compras!$D$6:$D$605,Compras!$B$6:$B$605,$A134,Compras!$C$6:$C$605,"Chico")&gt;0,N($E134)&lt;=$B$5),"C ","")&amp;IF(AND(SUMIFS(Compras!$D$6:$D$605,Compras!$B$6:$B$605,$A134,Compras!$C$6:$C$605,"Mediano")&gt;0,N($F134)&lt;=$B$5),"M ","")&amp;IF(AND(SUMIFS(Compras!$D$6:$D$605,Compras!$B$6:$B$605,$A134,Compras!$C$6:$C$605,"Grande")&gt;0,N($G134)&lt;=$B$5),"G","")),IF(N($H134)&lt;=$B$5,"REPONER",""))))</f>
        <v/>
      </c>
      <c r="J134" s="69" t="str">
        <f aca="false">IF($A134="","",SUMIFS(Ventas!$D$6:$D$605,Ventas!$B$6:$B$605,$A134))</f>
        <v/>
      </c>
      <c r="K134" s="45" t="str">
        <f aca="false">IF($A134="","",SUMIFS(Ventas!$F$6:$F$605,Ventas!$B$6:$B$605,$A134))</f>
        <v/>
      </c>
    </row>
    <row r="135" customFormat="false" ht="15.75" hidden="false" customHeight="true" outlineLevel="0" collapsed="false">
      <c r="A135" s="68" t="str">
        <f aca="false">IF(Costos!$A149="","",Costos!$A149)</f>
        <v/>
      </c>
      <c r="B135" s="68" t="str">
        <f aca="false">IF(Costos!$A149="","",Costos!$B149&amp;"")</f>
        <v/>
      </c>
      <c r="C135" s="68" t="str">
        <f aca="false">IF(Costos!$A149="","",Costos!$C149&amp;"")</f>
        <v/>
      </c>
      <c r="D135" s="69" t="str">
        <f aca="false">IF($A135="","",SUMIFS(Compras!$D$6:$D$605,Compras!$B$6:$B$605,$A135,Compras!$C$6:$C$605,"Único")-SUMIFS(Ventas!$D$6:$D$605,Ventas!$B$6:$B$605,$A135,Ventas!$C$6:$C$605,"Único"))</f>
        <v/>
      </c>
      <c r="E135" s="69" t="str">
        <f aca="false">IF($A135="","",IF(LEFT($C135,6)="Anillo",SUMIFS(Compras!$D$6:$D$605,Compras!$B$6:$B$605,$A135,Compras!$C$6:$C$605,"Chico")-SUMIFS(Ventas!$D$6:$D$605,Ventas!$B$6:$B$605,$A135,Ventas!$C$6:$C$605,"Chico"),""))</f>
        <v/>
      </c>
      <c r="F135" s="69" t="str">
        <f aca="false">IF($A135="","",IF(LEFT($C135,6)="Anillo",SUMIFS(Compras!$D$6:$D$605,Compras!$B$6:$B$605,$A135,Compras!$C$6:$C$605,"Mediano")-SUMIFS(Ventas!$D$6:$D$605,Ventas!$B$6:$B$605,$A135,Ventas!$C$6:$C$605,"Mediano"),""))</f>
        <v/>
      </c>
      <c r="G135" s="69" t="str">
        <f aca="false">IF($A135="","",IF(LEFT($C135,6)="Anillo",SUMIFS(Compras!$D$6:$D$605,Compras!$B$6:$B$605,$A135,Compras!$C$6:$C$605,"Grande")-SUMIFS(Ventas!$D$6:$D$605,Ventas!$B$6:$B$605,$A135,Ventas!$C$6:$C$605,"Grande"),""))</f>
        <v/>
      </c>
      <c r="H135" s="69" t="str">
        <f aca="false">IF($A135="","",N($D135)+N($E135)+N($F135)+N($G135))</f>
        <v/>
      </c>
      <c r="I135" s="70" t="str">
        <f aca="false">IF($A135="","",IF(N($H135)&lt;=0,"SIN STOCK",IF(LEFT($C135,6)="Anillo",IF(IF(AND(SUMIFS(Compras!$D$6:$D$605,Compras!$B$6:$B$605,$A135,Compras!$C$6:$C$605,"Chico")&gt;0,N($E135)&lt;=$B$5),"C ","")&amp;IF(AND(SUMIFS(Compras!$D$6:$D$605,Compras!$B$6:$B$605,$A135,Compras!$C$6:$C$605,"Mediano")&gt;0,N($F135)&lt;=$B$5),"M ","")&amp;IF(AND(SUMIFS(Compras!$D$6:$D$605,Compras!$B$6:$B$605,$A135,Compras!$C$6:$C$605,"Grande")&gt;0,N($G135)&lt;=$B$5),"G","")="","","Reponer "&amp;IF(AND(SUMIFS(Compras!$D$6:$D$605,Compras!$B$6:$B$605,$A135,Compras!$C$6:$C$605,"Chico")&gt;0,N($E135)&lt;=$B$5),"C ","")&amp;IF(AND(SUMIFS(Compras!$D$6:$D$605,Compras!$B$6:$B$605,$A135,Compras!$C$6:$C$605,"Mediano")&gt;0,N($F135)&lt;=$B$5),"M ","")&amp;IF(AND(SUMIFS(Compras!$D$6:$D$605,Compras!$B$6:$B$605,$A135,Compras!$C$6:$C$605,"Grande")&gt;0,N($G135)&lt;=$B$5),"G","")),IF(N($H135)&lt;=$B$5,"REPONER",""))))</f>
        <v/>
      </c>
      <c r="J135" s="69" t="str">
        <f aca="false">IF($A135="","",SUMIFS(Ventas!$D$6:$D$605,Ventas!$B$6:$B$605,$A135))</f>
        <v/>
      </c>
      <c r="K135" s="45" t="str">
        <f aca="false">IF($A135="","",SUMIFS(Ventas!$F$6:$F$605,Ventas!$B$6:$B$605,$A135))</f>
        <v/>
      </c>
    </row>
    <row r="136" customFormat="false" ht="15.75" hidden="false" customHeight="true" outlineLevel="0" collapsed="false">
      <c r="A136" s="68" t="str">
        <f aca="false">IF(Costos!$A150="","",Costos!$A150)</f>
        <v/>
      </c>
      <c r="B136" s="68" t="str">
        <f aca="false">IF(Costos!$A150="","",Costos!$B150&amp;"")</f>
        <v/>
      </c>
      <c r="C136" s="68" t="str">
        <f aca="false">IF(Costos!$A150="","",Costos!$C150&amp;"")</f>
        <v/>
      </c>
      <c r="D136" s="69" t="str">
        <f aca="false">IF($A136="","",SUMIFS(Compras!$D$6:$D$605,Compras!$B$6:$B$605,$A136,Compras!$C$6:$C$605,"Único")-SUMIFS(Ventas!$D$6:$D$605,Ventas!$B$6:$B$605,$A136,Ventas!$C$6:$C$605,"Único"))</f>
        <v/>
      </c>
      <c r="E136" s="69" t="str">
        <f aca="false">IF($A136="","",IF(LEFT($C136,6)="Anillo",SUMIFS(Compras!$D$6:$D$605,Compras!$B$6:$B$605,$A136,Compras!$C$6:$C$605,"Chico")-SUMIFS(Ventas!$D$6:$D$605,Ventas!$B$6:$B$605,$A136,Ventas!$C$6:$C$605,"Chico"),""))</f>
        <v/>
      </c>
      <c r="F136" s="69" t="str">
        <f aca="false">IF($A136="","",IF(LEFT($C136,6)="Anillo",SUMIFS(Compras!$D$6:$D$605,Compras!$B$6:$B$605,$A136,Compras!$C$6:$C$605,"Mediano")-SUMIFS(Ventas!$D$6:$D$605,Ventas!$B$6:$B$605,$A136,Ventas!$C$6:$C$605,"Mediano"),""))</f>
        <v/>
      </c>
      <c r="G136" s="69" t="str">
        <f aca="false">IF($A136="","",IF(LEFT($C136,6)="Anillo",SUMIFS(Compras!$D$6:$D$605,Compras!$B$6:$B$605,$A136,Compras!$C$6:$C$605,"Grande")-SUMIFS(Ventas!$D$6:$D$605,Ventas!$B$6:$B$605,$A136,Ventas!$C$6:$C$605,"Grande"),""))</f>
        <v/>
      </c>
      <c r="H136" s="69" t="str">
        <f aca="false">IF($A136="","",N($D136)+N($E136)+N($F136)+N($G136))</f>
        <v/>
      </c>
      <c r="I136" s="70" t="str">
        <f aca="false">IF($A136="","",IF(N($H136)&lt;=0,"SIN STOCK",IF(LEFT($C136,6)="Anillo",IF(IF(AND(SUMIFS(Compras!$D$6:$D$605,Compras!$B$6:$B$605,$A136,Compras!$C$6:$C$605,"Chico")&gt;0,N($E136)&lt;=$B$5),"C ","")&amp;IF(AND(SUMIFS(Compras!$D$6:$D$605,Compras!$B$6:$B$605,$A136,Compras!$C$6:$C$605,"Mediano")&gt;0,N($F136)&lt;=$B$5),"M ","")&amp;IF(AND(SUMIFS(Compras!$D$6:$D$605,Compras!$B$6:$B$605,$A136,Compras!$C$6:$C$605,"Grande")&gt;0,N($G136)&lt;=$B$5),"G","")="","","Reponer "&amp;IF(AND(SUMIFS(Compras!$D$6:$D$605,Compras!$B$6:$B$605,$A136,Compras!$C$6:$C$605,"Chico")&gt;0,N($E136)&lt;=$B$5),"C ","")&amp;IF(AND(SUMIFS(Compras!$D$6:$D$605,Compras!$B$6:$B$605,$A136,Compras!$C$6:$C$605,"Mediano")&gt;0,N($F136)&lt;=$B$5),"M ","")&amp;IF(AND(SUMIFS(Compras!$D$6:$D$605,Compras!$B$6:$B$605,$A136,Compras!$C$6:$C$605,"Grande")&gt;0,N($G136)&lt;=$B$5),"G","")),IF(N($H136)&lt;=$B$5,"REPONER",""))))</f>
        <v/>
      </c>
      <c r="J136" s="69" t="str">
        <f aca="false">IF($A136="","",SUMIFS(Ventas!$D$6:$D$605,Ventas!$B$6:$B$605,$A136))</f>
        <v/>
      </c>
      <c r="K136" s="45" t="str">
        <f aca="false">IF($A136="","",SUMIFS(Ventas!$F$6:$F$605,Ventas!$B$6:$B$605,$A136))</f>
        <v/>
      </c>
    </row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>
      <c r="A145" s="71" t="s">
        <v>319</v>
      </c>
    </row>
    <row r="146" customFormat="false" ht="15.75" hidden="false" customHeight="true" outlineLevel="0" collapsed="false">
      <c r="A146" s="72" t="s">
        <v>320</v>
      </c>
    </row>
    <row r="147" customFormat="false" ht="15.75" hidden="false" customHeight="true" outlineLevel="0" collapsed="false">
      <c r="A147" s="72" t="s">
        <v>321</v>
      </c>
    </row>
    <row r="148" customFormat="false" ht="15.75" hidden="false" customHeight="true" outlineLevel="0" collapsed="false">
      <c r="A148" s="72" t="s">
        <v>322</v>
      </c>
    </row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6.26"/>
    <col collapsed="false" customWidth="true" hidden="false" outlineLevel="0" max="2" min="2" style="0" width="13.13"/>
    <col collapsed="false" customWidth="true" hidden="false" outlineLevel="0" max="3" min="3" style="0" width="11.38"/>
    <col collapsed="false" customWidth="true" hidden="false" outlineLevel="0" max="4" min="4" style="0" width="10.5"/>
    <col collapsed="false" customWidth="true" hidden="false" outlineLevel="0" max="6" min="5" style="0" width="7.88"/>
    <col collapsed="false" customWidth="true" hidden="false" outlineLevel="0" max="7" min="7" style="0" width="8.75"/>
    <col collapsed="false" customWidth="true" hidden="false" outlineLevel="0" max="8" min="8" style="0" width="7.88"/>
    <col collapsed="false" customWidth="true" hidden="false" outlineLevel="0" max="9" min="9" style="0" width="10.5"/>
    <col collapsed="false" customWidth="true" hidden="false" outlineLevel="0" max="10" min="10" style="0" width="29.75"/>
  </cols>
  <sheetData>
    <row r="1" customFormat="false" ht="15.75" hidden="false" customHeight="true" outlineLevel="0" collapsed="false">
      <c r="A1" s="73" t="s">
        <v>323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9" t="s">
        <v>324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A3" s="39" t="s">
        <v>325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true" outlineLevel="0" collapsed="false">
      <c r="A5" s="74" t="s">
        <v>33</v>
      </c>
      <c r="B5" s="74" t="s">
        <v>34</v>
      </c>
      <c r="C5" s="74" t="s">
        <v>35</v>
      </c>
      <c r="D5" s="74" t="s">
        <v>326</v>
      </c>
      <c r="E5" s="74" t="s">
        <v>327</v>
      </c>
      <c r="F5" s="74" t="s">
        <v>254</v>
      </c>
      <c r="G5" s="74" t="s">
        <v>253</v>
      </c>
      <c r="H5" s="74" t="s">
        <v>255</v>
      </c>
      <c r="I5" s="74" t="s">
        <v>328</v>
      </c>
      <c r="J5" s="74" t="s">
        <v>329</v>
      </c>
      <c r="K5" s="74" t="s">
        <v>317</v>
      </c>
    </row>
    <row r="6" customFormat="false" ht="15" hidden="false" customHeight="true" outlineLevel="0" collapsed="false">
      <c r="A6" s="68" t="str">
        <f aca="false">IF(Costos!$A23="","",Costos!$A23)</f>
        <v>Argollitas Classic N°1</v>
      </c>
      <c r="B6" s="68" t="str">
        <f aca="false">IF(Costos!$A23="","",Costos!$B23&amp;"")</f>
        <v>Plata 925</v>
      </c>
      <c r="C6" s="68" t="str">
        <f aca="false">IF(Costos!$A23="","",Costos!$C23&amp;"")</f>
        <v>Aros</v>
      </c>
      <c r="D6" s="75" t="n">
        <f aca="false">IF(Costos!$A23="","",N(Costos!$K23))</f>
        <v>7000</v>
      </c>
      <c r="E6" s="69" t="n">
        <f aca="false">IF(Costos!$A23="","",N(Stock!$H9))</f>
        <v>0</v>
      </c>
      <c r="F6" s="69" t="n">
        <f aca="false">IF(Costos!$A23="","",N(Stock!$E9)+IF(LEFT(Stock!$C9,6)="Anillo",0,N(Stock!$D9)))</f>
        <v>0</v>
      </c>
      <c r="G6" s="69" t="n">
        <f aca="false">IF(Costos!$A23="","",N(Stock!$F9))</f>
        <v>0</v>
      </c>
      <c r="H6" s="69" t="n">
        <f aca="false">IF(Costos!$A23="","",N(Stock!$G9))</f>
        <v>0</v>
      </c>
      <c r="I6" s="42"/>
      <c r="J6" s="42"/>
      <c r="K6" s="76" t="n">
        <f aca="false">IF(Costos!$A23="","",N(Stock!$J9))</f>
        <v>1</v>
      </c>
    </row>
    <row r="7" customFormat="false" ht="15" hidden="false" customHeight="true" outlineLevel="0" collapsed="false">
      <c r="A7" s="68" t="str">
        <f aca="false">IF(Costos!$A24="","",Costos!$A24)</f>
        <v>Argollitas Classic N°2</v>
      </c>
      <c r="B7" s="68" t="str">
        <f aca="false">IF(Costos!$A24="","",Costos!$B24&amp;"")</f>
        <v>Plata 925</v>
      </c>
      <c r="C7" s="68" t="str">
        <f aca="false">IF(Costos!$A24="","",Costos!$C24&amp;"")</f>
        <v>Aros</v>
      </c>
      <c r="D7" s="75" t="n">
        <f aca="false">IF(Costos!$A24="","",N(Costos!$K24))</f>
        <v>7500</v>
      </c>
      <c r="E7" s="69" t="n">
        <f aca="false">IF(Costos!$A24="","",N(Stock!$H10))</f>
        <v>0</v>
      </c>
      <c r="F7" s="69" t="n">
        <f aca="false">IF(Costos!$A24="","",N(Stock!$E10)+IF(LEFT(Stock!$C10,6)="Anillo",0,N(Stock!$D10)))</f>
        <v>0</v>
      </c>
      <c r="G7" s="69" t="n">
        <f aca="false">IF(Costos!$A24="","",N(Stock!$F10))</f>
        <v>0</v>
      </c>
      <c r="H7" s="69" t="n">
        <f aca="false">IF(Costos!$A24="","",N(Stock!$G10))</f>
        <v>0</v>
      </c>
      <c r="I7" s="42"/>
      <c r="J7" s="42"/>
      <c r="K7" s="76" t="n">
        <f aca="false">IF(Costos!$A24="","",N(Stock!$J10))</f>
        <v>1</v>
      </c>
    </row>
    <row r="8" customFormat="false" ht="15" hidden="false" customHeight="true" outlineLevel="0" collapsed="false">
      <c r="A8" s="68" t="str">
        <f aca="false">IF(Costos!$A25="","",Costos!$A25)</f>
        <v>Argollitas Classic N°3</v>
      </c>
      <c r="B8" s="68" t="str">
        <f aca="false">IF(Costos!$A25="","",Costos!$B25&amp;"")</f>
        <v>Plata 925</v>
      </c>
      <c r="C8" s="68" t="str">
        <f aca="false">IF(Costos!$A25="","",Costos!$C25&amp;"")</f>
        <v>Aros</v>
      </c>
      <c r="D8" s="75" t="n">
        <f aca="false">IF(Costos!$A25="","",N(Costos!$K25))</f>
        <v>8000</v>
      </c>
      <c r="E8" s="69" t="n">
        <f aca="false">IF(Costos!$A25="","",N(Stock!$H11))</f>
        <v>0</v>
      </c>
      <c r="F8" s="69" t="n">
        <f aca="false">IF(Costos!$A25="","",N(Stock!$E11)+IF(LEFT(Stock!$C11,6)="Anillo",0,N(Stock!$D11)))</f>
        <v>0</v>
      </c>
      <c r="G8" s="69" t="n">
        <f aca="false">IF(Costos!$A25="","",N(Stock!$F11))</f>
        <v>0</v>
      </c>
      <c r="H8" s="69" t="n">
        <f aca="false">IF(Costos!$A25="","",N(Stock!$G11))</f>
        <v>0</v>
      </c>
      <c r="I8" s="42"/>
      <c r="J8" s="42"/>
      <c r="K8" s="76" t="n">
        <f aca="false">IF(Costos!$A25="","",N(Stock!$J11))</f>
        <v>1</v>
      </c>
    </row>
    <row r="9" customFormat="false" ht="15" hidden="false" customHeight="true" outlineLevel="0" collapsed="false">
      <c r="A9" s="68" t="str">
        <f aca="false">IF(Costos!$A26="","",Costos!$A26)</f>
        <v>Argollitas Classic N°4</v>
      </c>
      <c r="B9" s="68" t="str">
        <f aca="false">IF(Costos!$A26="","",Costos!$B26&amp;"")</f>
        <v>Plata 925</v>
      </c>
      <c r="C9" s="68" t="str">
        <f aca="false">IF(Costos!$A26="","",Costos!$C26&amp;"")</f>
        <v>Aros</v>
      </c>
      <c r="D9" s="75" t="n">
        <f aca="false">IF(Costos!$A26="","",N(Costos!$K26))</f>
        <v>8500</v>
      </c>
      <c r="E9" s="69" t="n">
        <f aca="false">IF(Costos!$A26="","",N(Stock!$H12))</f>
        <v>0</v>
      </c>
      <c r="F9" s="69" t="n">
        <f aca="false">IF(Costos!$A26="","",N(Stock!$E12)+IF(LEFT(Stock!$C12,6)="Anillo",0,N(Stock!$D12)))</f>
        <v>0</v>
      </c>
      <c r="G9" s="69" t="n">
        <f aca="false">IF(Costos!$A26="","",N(Stock!$F12))</f>
        <v>0</v>
      </c>
      <c r="H9" s="69" t="n">
        <f aca="false">IF(Costos!$A26="","",N(Stock!$G12))</f>
        <v>0</v>
      </c>
      <c r="I9" s="42"/>
      <c r="J9" s="42"/>
      <c r="K9" s="76" t="n">
        <f aca="false">IF(Costos!$A26="","",N(Stock!$J12))</f>
        <v>1</v>
      </c>
    </row>
    <row r="10" customFormat="false" ht="15" hidden="false" customHeight="true" outlineLevel="0" collapsed="false">
      <c r="A10" s="68" t="str">
        <f aca="false">IF(Costos!$A27="","",Costos!$A27)</f>
        <v>Argollitas Classic N°5</v>
      </c>
      <c r="B10" s="68" t="str">
        <f aca="false">IF(Costos!$A27="","",Costos!$B27&amp;"")</f>
        <v>Plata 925</v>
      </c>
      <c r="C10" s="68" t="str">
        <f aca="false">IF(Costos!$A27="","",Costos!$C27&amp;"")</f>
        <v>Aros</v>
      </c>
      <c r="D10" s="75" t="n">
        <f aca="false">IF(Costos!$A27="","",N(Costos!$K27))</f>
        <v>9000</v>
      </c>
      <c r="E10" s="69" t="n">
        <f aca="false">IF(Costos!$A27="","",N(Stock!$H13))</f>
        <v>1</v>
      </c>
      <c r="F10" s="69" t="n">
        <f aca="false">IF(Costos!$A27="","",N(Stock!$E13)+IF(LEFT(Stock!$C13,6)="Anillo",0,N(Stock!$D13)))</f>
        <v>1</v>
      </c>
      <c r="G10" s="69" t="n">
        <f aca="false">IF(Costos!$A27="","",N(Stock!$F13))</f>
        <v>0</v>
      </c>
      <c r="H10" s="69" t="n">
        <f aca="false">IF(Costos!$A27="","",N(Stock!$G13))</f>
        <v>0</v>
      </c>
      <c r="I10" s="42"/>
      <c r="J10" s="42"/>
      <c r="K10" s="76" t="n">
        <f aca="false">IF(Costos!$A27="","",N(Stock!$J13))</f>
        <v>1</v>
      </c>
    </row>
    <row r="11" customFormat="false" ht="15" hidden="false" customHeight="true" outlineLevel="0" collapsed="false">
      <c r="A11" s="68" t="str">
        <f aca="false">IF(Costos!$A28="","",Costos!$A28)</f>
        <v>Cubic Mini Circulo </v>
      </c>
      <c r="B11" s="68" t="str">
        <f aca="false">IF(Costos!$A28="","",Costos!$B28&amp;"")</f>
        <v>Plata 925</v>
      </c>
      <c r="C11" s="68" t="str">
        <f aca="false">IF(Costos!$A28="","",Costos!$C28&amp;"")</f>
        <v>Aros</v>
      </c>
      <c r="D11" s="75" t="n">
        <f aca="false">IF(Costos!$A28="","",N(Costos!$K28))</f>
        <v>12000</v>
      </c>
      <c r="E11" s="69" t="n">
        <f aca="false">IF(Costos!$A28="","",N(Stock!$H14))</f>
        <v>0</v>
      </c>
      <c r="F11" s="69" t="n">
        <f aca="false">IF(Costos!$A28="","",N(Stock!$E14)+IF(LEFT(Stock!$C14,6)="Anillo",0,N(Stock!$D14)))</f>
        <v>0</v>
      </c>
      <c r="G11" s="69" t="n">
        <f aca="false">IF(Costos!$A28="","",N(Stock!$F14))</f>
        <v>0</v>
      </c>
      <c r="H11" s="69" t="n">
        <f aca="false">IF(Costos!$A28="","",N(Stock!$G14))</f>
        <v>0</v>
      </c>
      <c r="I11" s="42"/>
      <c r="J11" s="42"/>
      <c r="K11" s="76" t="n">
        <f aca="false">IF(Costos!$A28="","",N(Stock!$J14))</f>
        <v>1</v>
      </c>
    </row>
    <row r="12" customFormat="false" ht="15" hidden="false" customHeight="true" outlineLevel="0" collapsed="false">
      <c r="A12" s="68" t="str">
        <f aca="false">IF(Costos!$A29="","",Costos!$A29)</f>
        <v>Cubic Circulo Docha</v>
      </c>
      <c r="B12" s="68" t="str">
        <f aca="false">IF(Costos!$A29="","",Costos!$B29&amp;"")</f>
        <v>Plata 925</v>
      </c>
      <c r="C12" s="68" t="str">
        <f aca="false">IF(Costos!$A29="","",Costos!$C29&amp;"")</f>
        <v>Aros</v>
      </c>
      <c r="D12" s="75" t="n">
        <f aca="false">IF(Costos!$A29="","",N(Costos!$K29))</f>
        <v>12500</v>
      </c>
      <c r="E12" s="69" t="n">
        <f aca="false">IF(Costos!$A29="","",N(Stock!$H15))</f>
        <v>0</v>
      </c>
      <c r="F12" s="69" t="n">
        <f aca="false">IF(Costos!$A29="","",N(Stock!$E15)+IF(LEFT(Stock!$C15,6)="Anillo",0,N(Stock!$D15)))</f>
        <v>0</v>
      </c>
      <c r="G12" s="69" t="n">
        <f aca="false">IF(Costos!$A29="","",N(Stock!$F15))</f>
        <v>0</v>
      </c>
      <c r="H12" s="69" t="n">
        <f aca="false">IF(Costos!$A29="","",N(Stock!$G15))</f>
        <v>0</v>
      </c>
      <c r="I12" s="42"/>
      <c r="J12" s="42"/>
      <c r="K12" s="76" t="n">
        <f aca="false">IF(Costos!$A29="","",N(Stock!$J15))</f>
        <v>1</v>
      </c>
    </row>
    <row r="13" customFormat="false" ht="15" hidden="false" customHeight="true" outlineLevel="0" collapsed="false">
      <c r="A13" s="68" t="str">
        <f aca="false">IF(Costos!$A30="","",Costos!$A30)</f>
        <v>Cubic Cuadrado</v>
      </c>
      <c r="B13" s="68" t="str">
        <f aca="false">IF(Costos!$A30="","",Costos!$B30&amp;"")</f>
        <v>Plata 925</v>
      </c>
      <c r="C13" s="68" t="str">
        <f aca="false">IF(Costos!$A30="","",Costos!$C30&amp;"")</f>
        <v>Aros</v>
      </c>
      <c r="D13" s="75" t="n">
        <f aca="false">IF(Costos!$A30="","",N(Costos!$K30))</f>
        <v>12500</v>
      </c>
      <c r="E13" s="69" t="n">
        <f aca="false">IF(Costos!$A30="","",N(Stock!$H16))</f>
        <v>0</v>
      </c>
      <c r="F13" s="69" t="n">
        <f aca="false">IF(Costos!$A30="","",N(Stock!$E16)+IF(LEFT(Stock!$C16,6)="Anillo",0,N(Stock!$D16)))</f>
        <v>0</v>
      </c>
      <c r="G13" s="69" t="n">
        <f aca="false">IF(Costos!$A30="","",N(Stock!$F16))</f>
        <v>0</v>
      </c>
      <c r="H13" s="69" t="n">
        <f aca="false">IF(Costos!$A30="","",N(Stock!$G16))</f>
        <v>0</v>
      </c>
      <c r="I13" s="42"/>
      <c r="J13" s="42"/>
      <c r="K13" s="76" t="n">
        <f aca="false">IF(Costos!$A30="","",N(Stock!$J16))</f>
        <v>1</v>
      </c>
    </row>
    <row r="14" customFormat="false" ht="15" hidden="false" customHeight="true" outlineLevel="0" collapsed="false">
      <c r="A14" s="68" t="str">
        <f aca="false">IF(Costos!$A31="","",Costos!$A31)</f>
        <v>Argollitas Marco  Docha</v>
      </c>
      <c r="B14" s="68" t="str">
        <f aca="false">IF(Costos!$A31="","",Costos!$B31&amp;"")</f>
        <v>Plata 925</v>
      </c>
      <c r="C14" s="68" t="str">
        <f aca="false">IF(Costos!$A31="","",Costos!$C31&amp;"")</f>
        <v>Aros</v>
      </c>
      <c r="D14" s="75" t="n">
        <f aca="false">IF(Costos!$A31="","",N(Costos!$K31))</f>
        <v>25000</v>
      </c>
      <c r="E14" s="69" t="n">
        <f aca="false">IF(Costos!$A31="","",N(Stock!$H17))</f>
        <v>0</v>
      </c>
      <c r="F14" s="69" t="n">
        <f aca="false">IF(Costos!$A31="","",N(Stock!$E17)+IF(LEFT(Stock!$C17,6)="Anillo",0,N(Stock!$D17)))</f>
        <v>0</v>
      </c>
      <c r="G14" s="69" t="n">
        <f aca="false">IF(Costos!$A31="","",N(Stock!$F17))</f>
        <v>0</v>
      </c>
      <c r="H14" s="69" t="n">
        <f aca="false">IF(Costos!$A31="","",N(Stock!$G17))</f>
        <v>0</v>
      </c>
      <c r="I14" s="42"/>
      <c r="J14" s="42"/>
      <c r="K14" s="76" t="n">
        <f aca="false">IF(Costos!$A31="","",N(Stock!$J17))</f>
        <v>1</v>
      </c>
    </row>
    <row r="15" customFormat="false" ht="15" hidden="false" customHeight="true" outlineLevel="0" collapsed="false">
      <c r="A15" s="68" t="str">
        <f aca="false">IF(Costos!$A32="","",Costos!$A32)</f>
        <v>Anillo Circulo</v>
      </c>
      <c r="B15" s="68" t="str">
        <f aca="false">IF(Costos!$A32="","",Costos!$B32&amp;"")</f>
        <v>Plata 925</v>
      </c>
      <c r="C15" s="68" t="str">
        <f aca="false">IF(Costos!$A32="","",Costos!$C32&amp;"")</f>
        <v>Anillo</v>
      </c>
      <c r="D15" s="75" t="n">
        <f aca="false">IF(Costos!$A32="","",N(Costos!$K32))</f>
        <v>16000</v>
      </c>
      <c r="E15" s="69" t="n">
        <f aca="false">IF(Costos!$A32="","",N(Stock!$H18))</f>
        <v>0</v>
      </c>
      <c r="F15" s="69" t="n">
        <f aca="false">IF(Costos!$A32="","",N(Stock!$E18)+IF(LEFT(Stock!$C18,6)="Anillo",0,N(Stock!$D18)))</f>
        <v>0</v>
      </c>
      <c r="G15" s="69" t="n">
        <f aca="false">IF(Costos!$A32="","",N(Stock!$F18))</f>
        <v>0</v>
      </c>
      <c r="H15" s="69" t="n">
        <f aca="false">IF(Costos!$A32="","",N(Stock!$G18))</f>
        <v>0</v>
      </c>
      <c r="I15" s="42"/>
      <c r="J15" s="42"/>
      <c r="K15" s="76" t="n">
        <f aca="false">IF(Costos!$A32="","",N(Stock!$J18))</f>
        <v>2</v>
      </c>
    </row>
    <row r="16" customFormat="false" ht="15" hidden="false" customHeight="true" outlineLevel="0" collapsed="false">
      <c r="A16" s="68" t="str">
        <f aca="false">IF(Costos!$A33="","",Costos!$A33)</f>
        <v>Anillo Gota</v>
      </c>
      <c r="B16" s="68" t="str">
        <f aca="false">IF(Costos!$A33="","",Costos!$B33&amp;"")</f>
        <v>Plata 925</v>
      </c>
      <c r="C16" s="68" t="str">
        <f aca="false">IF(Costos!$A33="","",Costos!$C33&amp;"")</f>
        <v>Anillo</v>
      </c>
      <c r="D16" s="75" t="n">
        <f aca="false">IF(Costos!$A33="","",N(Costos!$K33))</f>
        <v>23000</v>
      </c>
      <c r="E16" s="69" t="n">
        <f aca="false">IF(Costos!$A33="","",N(Stock!$H19))</f>
        <v>0</v>
      </c>
      <c r="F16" s="69" t="n">
        <f aca="false">IF(Costos!$A33="","",N(Stock!$E19)+IF(LEFT(Stock!$C19,6)="Anillo",0,N(Stock!$D19)))</f>
        <v>0</v>
      </c>
      <c r="G16" s="69" t="n">
        <f aca="false">IF(Costos!$A33="","",N(Stock!$F19))</f>
        <v>0</v>
      </c>
      <c r="H16" s="69" t="n">
        <f aca="false">IF(Costos!$A33="","",N(Stock!$G19))</f>
        <v>0</v>
      </c>
      <c r="I16" s="42"/>
      <c r="J16" s="42"/>
      <c r="K16" s="76" t="n">
        <f aca="false">IF(Costos!$A33="","",N(Stock!$J19))</f>
        <v>1</v>
      </c>
    </row>
    <row r="17" customFormat="false" ht="15" hidden="false" customHeight="true" outlineLevel="0" collapsed="false">
      <c r="A17" s="68" t="str">
        <f aca="false">IF(Costos!$A34="","",Costos!$A34)</f>
        <v>Anillo Vera Docha</v>
      </c>
      <c r="B17" s="68" t="str">
        <f aca="false">IF(Costos!$A34="","",Costos!$B34&amp;"")</f>
        <v>Plata 925</v>
      </c>
      <c r="C17" s="68" t="str">
        <f aca="false">IF(Costos!$A34="","",Costos!$C34&amp;"")</f>
        <v>Anillo</v>
      </c>
      <c r="D17" s="75" t="n">
        <f aca="false">IF(Costos!$A34="","",N(Costos!$K34))</f>
        <v>13000</v>
      </c>
      <c r="E17" s="69" t="n">
        <f aca="false">IF(Costos!$A34="","",N(Stock!$H20))</f>
        <v>1</v>
      </c>
      <c r="F17" s="69" t="n">
        <f aca="false">IF(Costos!$A34="","",N(Stock!$E20)+IF(LEFT(Stock!$C20,6)="Anillo",0,N(Stock!$D20)))</f>
        <v>0</v>
      </c>
      <c r="G17" s="69" t="n">
        <f aca="false">IF(Costos!$A34="","",N(Stock!$F20))</f>
        <v>0</v>
      </c>
      <c r="H17" s="69" t="n">
        <f aca="false">IF(Costos!$A34="","",N(Stock!$G20))</f>
        <v>1</v>
      </c>
      <c r="I17" s="42"/>
      <c r="J17" s="42"/>
      <c r="K17" s="76" t="n">
        <f aca="false">IF(Costos!$A34="","",N(Stock!$J20))</f>
        <v>0</v>
      </c>
    </row>
    <row r="18" customFormat="false" ht="15" hidden="false" customHeight="true" outlineLevel="0" collapsed="false">
      <c r="A18" s="68" t="str">
        <f aca="false">IF(Costos!$A35="","",Costos!$A35)</f>
        <v>Anillo Calado </v>
      </c>
      <c r="B18" s="68" t="str">
        <f aca="false">IF(Costos!$A35="","",Costos!$B35&amp;"")</f>
        <v>Plata 925</v>
      </c>
      <c r="C18" s="68" t="str">
        <f aca="false">IF(Costos!$A35="","",Costos!$C35&amp;"")</f>
        <v>Anillo</v>
      </c>
      <c r="D18" s="75" t="n">
        <f aca="false">IF(Costos!$A35="","",N(Costos!$K35))</f>
        <v>19000</v>
      </c>
      <c r="E18" s="69" t="n">
        <f aca="false">IF(Costos!$A35="","",N(Stock!$H21))</f>
        <v>0</v>
      </c>
      <c r="F18" s="69" t="n">
        <f aca="false">IF(Costos!$A35="","",N(Stock!$E21)+IF(LEFT(Stock!$C21,6)="Anillo",0,N(Stock!$D21)))</f>
        <v>0</v>
      </c>
      <c r="G18" s="69" t="n">
        <f aca="false">IF(Costos!$A35="","",N(Stock!$F21))</f>
        <v>0</v>
      </c>
      <c r="H18" s="69" t="n">
        <f aca="false">IF(Costos!$A35="","",N(Stock!$G21))</f>
        <v>0</v>
      </c>
      <c r="I18" s="42"/>
      <c r="J18" s="42"/>
      <c r="K18" s="76" t="n">
        <f aca="false">IF(Costos!$A35="","",N(Stock!$J21))</f>
        <v>2</v>
      </c>
    </row>
    <row r="19" customFormat="false" ht="15" hidden="false" customHeight="true" outlineLevel="0" collapsed="false">
      <c r="A19" s="68" t="str">
        <f aca="false">IF(Costos!$A36="","",Costos!$A36)</f>
        <v>Cadena eslabon </v>
      </c>
      <c r="B19" s="68" t="str">
        <f aca="false">IF(Costos!$A36="","",Costos!$B36&amp;"")</f>
        <v>Acero blanco</v>
      </c>
      <c r="C19" s="68" t="str">
        <f aca="false">IF(Costos!$A36="","",Costos!$C36&amp;"")</f>
        <v>Collar</v>
      </c>
      <c r="D19" s="75" t="n">
        <f aca="false">IF(Costos!$A36="","",N(Costos!$K36))</f>
        <v>8500</v>
      </c>
      <c r="E19" s="69" t="n">
        <f aca="false">IF(Costos!$A36="","",N(Stock!$H22))</f>
        <v>2</v>
      </c>
      <c r="F19" s="69" t="n">
        <f aca="false">IF(Costos!$A36="","",N(Stock!$E22)+IF(LEFT(Stock!$C22,6)="Anillo",0,N(Stock!$D22)))</f>
        <v>2</v>
      </c>
      <c r="G19" s="69" t="n">
        <f aca="false">IF(Costos!$A36="","",N(Stock!$F22))</f>
        <v>0</v>
      </c>
      <c r="H19" s="69" t="n">
        <f aca="false">IF(Costos!$A36="","",N(Stock!$G22))</f>
        <v>0</v>
      </c>
      <c r="I19" s="42"/>
      <c r="J19" s="42"/>
      <c r="K19" s="76" t="n">
        <f aca="false">IF(Costos!$A36="","",N(Stock!$J22))</f>
        <v>0</v>
      </c>
    </row>
    <row r="20" customFormat="false" ht="15" hidden="false" customHeight="true" outlineLevel="0" collapsed="false">
      <c r="A20" s="68" t="str">
        <f aca="false">IF(Costos!$A37="","",Costos!$A37)</f>
        <v>Cadena lisa</v>
      </c>
      <c r="B20" s="68" t="str">
        <f aca="false">IF(Costos!$A37="","",Costos!$B37&amp;"")</f>
        <v>Acero blanco</v>
      </c>
      <c r="C20" s="68" t="str">
        <f aca="false">IF(Costos!$A37="","",Costos!$C37&amp;"")</f>
        <v>Collar</v>
      </c>
      <c r="D20" s="75" t="n">
        <f aca="false">IF(Costos!$A37="","",N(Costos!$K37))</f>
        <v>7000</v>
      </c>
      <c r="E20" s="69" t="n">
        <f aca="false">IF(Costos!$A37="","",N(Stock!$H23))</f>
        <v>0</v>
      </c>
      <c r="F20" s="69" t="n">
        <f aca="false">IF(Costos!$A37="","",N(Stock!$E23)+IF(LEFT(Stock!$C23,6)="Anillo",0,N(Stock!$D23)))</f>
        <v>0</v>
      </c>
      <c r="G20" s="69" t="n">
        <f aca="false">IF(Costos!$A37="","",N(Stock!$F23))</f>
        <v>0</v>
      </c>
      <c r="H20" s="69" t="n">
        <f aca="false">IF(Costos!$A37="","",N(Stock!$G23))</f>
        <v>0</v>
      </c>
      <c r="I20" s="42"/>
      <c r="J20" s="42"/>
      <c r="K20" s="76" t="n">
        <f aca="false">IF(Costos!$A37="","",N(Stock!$J23))</f>
        <v>2</v>
      </c>
    </row>
    <row r="21" customFormat="false" ht="15" hidden="false" customHeight="true" outlineLevel="0" collapsed="false">
      <c r="A21" s="68" t="str">
        <f aca="false">IF(Costos!$A38="","",Costos!$A38)</f>
        <v>Argollitas gota </v>
      </c>
      <c r="B21" s="68" t="str">
        <f aca="false">IF(Costos!$A38="","",Costos!$B38&amp;"")</f>
        <v>Acero blanco</v>
      </c>
      <c r="C21" s="68" t="str">
        <f aca="false">IF(Costos!$A38="","",Costos!$C38&amp;"")</f>
        <v>Aros</v>
      </c>
      <c r="D21" s="75" t="n">
        <f aca="false">IF(Costos!$A38="","",N(Costos!$K38))</f>
        <v>7500</v>
      </c>
      <c r="E21" s="69" t="n">
        <f aca="false">IF(Costos!$A38="","",N(Stock!$H24))</f>
        <v>0</v>
      </c>
      <c r="F21" s="69" t="n">
        <f aca="false">IF(Costos!$A38="","",N(Stock!$E24)+IF(LEFT(Stock!$C24,6)="Anillo",0,N(Stock!$D24)))</f>
        <v>0</v>
      </c>
      <c r="G21" s="69" t="n">
        <f aca="false">IF(Costos!$A38="","",N(Stock!$F24))</f>
        <v>0</v>
      </c>
      <c r="H21" s="69" t="n">
        <f aca="false">IF(Costos!$A38="","",N(Stock!$G24))</f>
        <v>0</v>
      </c>
      <c r="I21" s="42"/>
      <c r="J21" s="42"/>
      <c r="K21" s="76" t="n">
        <f aca="false">IF(Costos!$A38="","",N(Stock!$J24))</f>
        <v>1</v>
      </c>
    </row>
    <row r="22" customFormat="false" ht="15" hidden="false" customHeight="true" outlineLevel="0" collapsed="false">
      <c r="A22" s="68" t="str">
        <f aca="false">IF(Costos!$A39="","",Costos!$A39)</f>
        <v>Argollitas Caviar circulo</v>
      </c>
      <c r="B22" s="68" t="str">
        <f aca="false">IF(Costos!$A39="","",Costos!$B39&amp;"")</f>
        <v>Acero blanco</v>
      </c>
      <c r="C22" s="68" t="str">
        <f aca="false">IF(Costos!$A39="","",Costos!$C39&amp;"")</f>
        <v>Aros</v>
      </c>
      <c r="D22" s="75" t="n">
        <f aca="false">IF(Costos!$A39="","",N(Costos!$K39))</f>
        <v>6500</v>
      </c>
      <c r="E22" s="69" t="n">
        <f aca="false">IF(Costos!$A39="","",N(Stock!$H25))</f>
        <v>1</v>
      </c>
      <c r="F22" s="69" t="n">
        <f aca="false">IF(Costos!$A39="","",N(Stock!$E25)+IF(LEFT(Stock!$C25,6)="Anillo",0,N(Stock!$D25)))</f>
        <v>1</v>
      </c>
      <c r="G22" s="69" t="n">
        <f aca="false">IF(Costos!$A39="","",N(Stock!$F25))</f>
        <v>0</v>
      </c>
      <c r="H22" s="69" t="n">
        <f aca="false">IF(Costos!$A39="","",N(Stock!$G25))</f>
        <v>0</v>
      </c>
      <c r="I22" s="42"/>
      <c r="J22" s="42"/>
      <c r="K22" s="76" t="n">
        <f aca="false">IF(Costos!$A39="","",N(Stock!$J25))</f>
        <v>1</v>
      </c>
    </row>
    <row r="23" customFormat="false" ht="15" hidden="false" customHeight="true" outlineLevel="0" collapsed="false">
      <c r="A23" s="68" t="str">
        <f aca="false">IF(Costos!$A40="","",Costos!$A40)</f>
        <v>Argollitas Caviar triangulo</v>
      </c>
      <c r="B23" s="68" t="str">
        <f aca="false">IF(Costos!$A40="","",Costos!$B40&amp;"")</f>
        <v>Acero blanco</v>
      </c>
      <c r="C23" s="68" t="str">
        <f aca="false">IF(Costos!$A40="","",Costos!$C40&amp;"")</f>
        <v>Aros</v>
      </c>
      <c r="D23" s="75" t="n">
        <f aca="false">IF(Costos!$A40="","",N(Costos!$K40))</f>
        <v>6500</v>
      </c>
      <c r="E23" s="69" t="n">
        <f aca="false">IF(Costos!$A40="","",N(Stock!$H26))</f>
        <v>1</v>
      </c>
      <c r="F23" s="69" t="n">
        <f aca="false">IF(Costos!$A40="","",N(Stock!$E26)+IF(LEFT(Stock!$C26,6)="Anillo",0,N(Stock!$D26)))</f>
        <v>1</v>
      </c>
      <c r="G23" s="69" t="n">
        <f aca="false">IF(Costos!$A40="","",N(Stock!$F26))</f>
        <v>0</v>
      </c>
      <c r="H23" s="69" t="n">
        <f aca="false">IF(Costos!$A40="","",N(Stock!$G26))</f>
        <v>0</v>
      </c>
      <c r="I23" s="42"/>
      <c r="J23" s="42"/>
      <c r="K23" s="76" t="n">
        <f aca="false">IF(Costos!$A40="","",N(Stock!$J26))</f>
        <v>1</v>
      </c>
    </row>
    <row r="24" customFormat="false" ht="15" hidden="false" customHeight="true" outlineLevel="0" collapsed="false">
      <c r="A24" s="68" t="str">
        <f aca="false">IF(Costos!$A41="","",Costos!$A41)</f>
        <v>Argollitas Ocampo</v>
      </c>
      <c r="B24" s="68" t="str">
        <f aca="false">IF(Costos!$A41="","",Costos!$B41&amp;"")</f>
        <v>Acero blanco</v>
      </c>
      <c r="C24" s="68" t="str">
        <f aca="false">IF(Costos!$A41="","",Costos!$C41&amp;"")</f>
        <v>Aros</v>
      </c>
      <c r="D24" s="75" t="n">
        <f aca="false">IF(Costos!$A41="","",N(Costos!$K41))</f>
        <v>7000</v>
      </c>
      <c r="E24" s="69" t="n">
        <f aca="false">IF(Costos!$A41="","",N(Stock!$H27))</f>
        <v>1</v>
      </c>
      <c r="F24" s="69" t="n">
        <f aca="false">IF(Costos!$A41="","",N(Stock!$E27)+IF(LEFT(Stock!$C27,6)="Anillo",0,N(Stock!$D27)))</f>
        <v>1</v>
      </c>
      <c r="G24" s="69" t="n">
        <f aca="false">IF(Costos!$A41="","",N(Stock!$F27))</f>
        <v>0</v>
      </c>
      <c r="H24" s="69" t="n">
        <f aca="false">IF(Costos!$A41="","",N(Stock!$G27))</f>
        <v>0</v>
      </c>
      <c r="I24" s="42"/>
      <c r="J24" s="42"/>
      <c r="K24" s="76" t="n">
        <f aca="false">IF(Costos!$A41="","",N(Stock!$J27))</f>
        <v>1</v>
      </c>
    </row>
    <row r="25" customFormat="false" ht="15" hidden="false" customHeight="true" outlineLevel="0" collapsed="false">
      <c r="A25" s="68" t="str">
        <f aca="false">IF(Costos!$A42="","",Costos!$A42)</f>
        <v>Argollitas Bubble</v>
      </c>
      <c r="B25" s="68" t="str">
        <f aca="false">IF(Costos!$A42="","",Costos!$B42&amp;"")</f>
        <v>Acero blanco</v>
      </c>
      <c r="C25" s="68" t="str">
        <f aca="false">IF(Costos!$A42="","",Costos!$C42&amp;"")</f>
        <v>Aros</v>
      </c>
      <c r="D25" s="75" t="n">
        <f aca="false">IF(Costos!$A42="","",N(Costos!$K42))</f>
        <v>6500</v>
      </c>
      <c r="E25" s="69" t="n">
        <f aca="false">IF(Costos!$A42="","",N(Stock!$H28))</f>
        <v>0</v>
      </c>
      <c r="F25" s="69" t="n">
        <f aca="false">IF(Costos!$A42="","",N(Stock!$E28)+IF(LEFT(Stock!$C28,6)="Anillo",0,N(Stock!$D28)))</f>
        <v>0</v>
      </c>
      <c r="G25" s="69" t="n">
        <f aca="false">IF(Costos!$A42="","",N(Stock!$F28))</f>
        <v>0</v>
      </c>
      <c r="H25" s="69" t="n">
        <f aca="false">IF(Costos!$A42="","",N(Stock!$G28))</f>
        <v>0</v>
      </c>
      <c r="I25" s="42"/>
      <c r="J25" s="42"/>
      <c r="K25" s="76" t="n">
        <f aca="false">IF(Costos!$A42="","",N(Stock!$J28))</f>
        <v>1</v>
      </c>
    </row>
    <row r="26" customFormat="false" ht="15" hidden="false" customHeight="true" outlineLevel="0" collapsed="false">
      <c r="A26" s="68" t="str">
        <f aca="false">IF(Costos!$A43="","",Costos!$A43)</f>
        <v>Argollitas Bombe</v>
      </c>
      <c r="B26" s="68" t="str">
        <f aca="false">IF(Costos!$A43="","",Costos!$B43&amp;"")</f>
        <v>Acero blanco</v>
      </c>
      <c r="C26" s="68" t="str">
        <f aca="false">IF(Costos!$A43="","",Costos!$C43&amp;"")</f>
        <v>Aros</v>
      </c>
      <c r="D26" s="75" t="n">
        <f aca="false">IF(Costos!$A43="","",N(Costos!$K43))</f>
        <v>6500</v>
      </c>
      <c r="E26" s="69" t="n">
        <f aca="false">IF(Costos!$A43="","",N(Stock!$H29))</f>
        <v>1</v>
      </c>
      <c r="F26" s="69" t="n">
        <f aca="false">IF(Costos!$A43="","",N(Stock!$E29)+IF(LEFT(Stock!$C29,6)="Anillo",0,N(Stock!$D29)))</f>
        <v>1</v>
      </c>
      <c r="G26" s="69" t="n">
        <f aca="false">IF(Costos!$A43="","",N(Stock!$F29))</f>
        <v>0</v>
      </c>
      <c r="H26" s="69" t="n">
        <f aca="false">IF(Costos!$A43="","",N(Stock!$G29))</f>
        <v>0</v>
      </c>
      <c r="I26" s="42"/>
      <c r="J26" s="42"/>
      <c r="K26" s="76" t="n">
        <f aca="false">IF(Costos!$A43="","",N(Stock!$J29))</f>
        <v>1</v>
      </c>
    </row>
    <row r="27" customFormat="false" ht="15" hidden="false" customHeight="true" outlineLevel="0" collapsed="false">
      <c r="A27" s="68" t="str">
        <f aca="false">IF(Costos!$A44="","",Costos!$A44)</f>
        <v>Argollita Duna N°0</v>
      </c>
      <c r="B27" s="68" t="str">
        <f aca="false">IF(Costos!$A44="","",Costos!$B44&amp;"")</f>
        <v>Acero blanco</v>
      </c>
      <c r="C27" s="68" t="str">
        <f aca="false">IF(Costos!$A44="","",Costos!$C44&amp;"")</f>
        <v>Aros</v>
      </c>
      <c r="D27" s="75" t="n">
        <f aca="false">IF(Costos!$A44="","",N(Costos!$K44))</f>
        <v>6500</v>
      </c>
      <c r="E27" s="69" t="n">
        <f aca="false">IF(Costos!$A44="","",N(Stock!$H30))</f>
        <v>0</v>
      </c>
      <c r="F27" s="69" t="n">
        <f aca="false">IF(Costos!$A44="","",N(Stock!$E30)+IF(LEFT(Stock!$C30,6)="Anillo",0,N(Stock!$D30)))</f>
        <v>0</v>
      </c>
      <c r="G27" s="69" t="n">
        <f aca="false">IF(Costos!$A44="","",N(Stock!$F30))</f>
        <v>0</v>
      </c>
      <c r="H27" s="69" t="n">
        <f aca="false">IF(Costos!$A44="","",N(Stock!$G30))</f>
        <v>0</v>
      </c>
      <c r="I27" s="42"/>
      <c r="J27" s="42"/>
      <c r="K27" s="76" t="n">
        <f aca="false">IF(Costos!$A44="","",N(Stock!$J30))</f>
        <v>1</v>
      </c>
    </row>
    <row r="28" customFormat="false" ht="15" hidden="false" customHeight="true" outlineLevel="0" collapsed="false">
      <c r="A28" s="68" t="str">
        <f aca="false">IF(Costos!$A45="","",Costos!$A45)</f>
        <v>Argollita Duna N°1</v>
      </c>
      <c r="B28" s="68" t="str">
        <f aca="false">IF(Costos!$A45="","",Costos!$B45&amp;"")</f>
        <v>Acero blanco</v>
      </c>
      <c r="C28" s="68" t="str">
        <f aca="false">IF(Costos!$A45="","",Costos!$C45&amp;"")</f>
        <v>Aros</v>
      </c>
      <c r="D28" s="75" t="n">
        <f aca="false">IF(Costos!$A45="","",N(Costos!$K45))</f>
        <v>6500</v>
      </c>
      <c r="E28" s="69" t="n">
        <f aca="false">IF(Costos!$A45="","",N(Stock!$H31))</f>
        <v>1</v>
      </c>
      <c r="F28" s="69" t="n">
        <f aca="false">IF(Costos!$A45="","",N(Stock!$E31)+IF(LEFT(Stock!$C31,6)="Anillo",0,N(Stock!$D31)))</f>
        <v>1</v>
      </c>
      <c r="G28" s="69" t="n">
        <f aca="false">IF(Costos!$A45="","",N(Stock!$F31))</f>
        <v>0</v>
      </c>
      <c r="H28" s="69" t="n">
        <f aca="false">IF(Costos!$A45="","",N(Stock!$G31))</f>
        <v>0</v>
      </c>
      <c r="I28" s="42"/>
      <c r="J28" s="42"/>
      <c r="K28" s="76" t="n">
        <f aca="false">IF(Costos!$A45="","",N(Stock!$J31))</f>
        <v>0</v>
      </c>
    </row>
    <row r="29" customFormat="false" ht="15" hidden="false" customHeight="true" outlineLevel="0" collapsed="false">
      <c r="A29" s="68" t="str">
        <f aca="false">IF(Costos!$A46="","",Costos!$A46)</f>
        <v/>
      </c>
      <c r="B29" s="68" t="str">
        <f aca="false">IF(Costos!$A46="","",Costos!$B46&amp;"")</f>
        <v/>
      </c>
      <c r="C29" s="68" t="str">
        <f aca="false">IF(Costos!$A46="","",Costos!$C46&amp;"")</f>
        <v/>
      </c>
      <c r="D29" s="75" t="str">
        <f aca="false">IF(Costos!$A46="","",N(Costos!$K46))</f>
        <v/>
      </c>
      <c r="E29" s="69" t="str">
        <f aca="false">IF(Costos!$A46="","",N(Stock!$H32))</f>
        <v/>
      </c>
      <c r="F29" s="69" t="str">
        <f aca="false">IF(Costos!$A46="","",N(Stock!$E32)+IF(LEFT(Stock!$C32,6)="Anillo",0,N(Stock!$D32)))</f>
        <v/>
      </c>
      <c r="G29" s="69" t="str">
        <f aca="false">IF(Costos!$A46="","",N(Stock!$F32))</f>
        <v/>
      </c>
      <c r="H29" s="69" t="str">
        <f aca="false">IF(Costos!$A46="","",N(Stock!$G32))</f>
        <v/>
      </c>
      <c r="I29" s="42"/>
      <c r="J29" s="42"/>
      <c r="K29" s="76" t="str">
        <f aca="false">IF(Costos!$A46="","",N(Stock!$J32))</f>
        <v/>
      </c>
    </row>
    <row r="30" customFormat="false" ht="15" hidden="false" customHeight="true" outlineLevel="0" collapsed="false">
      <c r="A30" s="68" t="str">
        <f aca="false">IF(Costos!$A47="","",Costos!$A47)</f>
        <v>Anillo Corazón I</v>
      </c>
      <c r="B30" s="68" t="str">
        <f aca="false">IF(Costos!$A47="","",Costos!$B47&amp;"")</f>
        <v>Acero inoxidable</v>
      </c>
      <c r="C30" s="68" t="str">
        <f aca="false">IF(Costos!$A47="","",Costos!$C47&amp;"")</f>
        <v>Anillo</v>
      </c>
      <c r="D30" s="75" t="n">
        <f aca="false">IF(Costos!$A47="","",N(Costos!$K47))</f>
        <v>13000</v>
      </c>
      <c r="E30" s="69" t="n">
        <f aca="false">IF(Costos!$A47="","",N(Stock!$H33))</f>
        <v>0</v>
      </c>
      <c r="F30" s="69" t="n">
        <f aca="false">IF(Costos!$A47="","",N(Stock!$E33)+IF(LEFT(Stock!$C33,6)="Anillo",0,N(Stock!$D33)))</f>
        <v>0</v>
      </c>
      <c r="G30" s="69" t="n">
        <f aca="false">IF(Costos!$A47="","",N(Stock!$F33))</f>
        <v>0</v>
      </c>
      <c r="H30" s="69" t="n">
        <f aca="false">IF(Costos!$A47="","",N(Stock!$G33))</f>
        <v>0</v>
      </c>
      <c r="I30" s="42"/>
      <c r="J30" s="42"/>
      <c r="K30" s="76" t="n">
        <f aca="false">IF(Costos!$A47="","",N(Stock!$J33))</f>
        <v>1</v>
      </c>
    </row>
    <row r="31" customFormat="false" ht="15" hidden="false" customHeight="true" outlineLevel="0" collapsed="false">
      <c r="A31" s="68" t="str">
        <f aca="false">IF(Costos!$A48="","",Costos!$A48)</f>
        <v>Anillo Ovalo</v>
      </c>
      <c r="B31" s="68" t="str">
        <f aca="false">IF(Costos!$A48="","",Costos!$B48&amp;"")</f>
        <v>Acero inoxidable</v>
      </c>
      <c r="C31" s="68" t="str">
        <f aca="false">IF(Costos!$A48="","",Costos!$C48&amp;"")</f>
        <v>Anillo</v>
      </c>
      <c r="D31" s="75" t="n">
        <f aca="false">IF(Costos!$A48="","",N(Costos!$K48))</f>
        <v>11500</v>
      </c>
      <c r="E31" s="69" t="n">
        <f aca="false">IF(Costos!$A48="","",N(Stock!$H34))</f>
        <v>0</v>
      </c>
      <c r="F31" s="69" t="n">
        <f aca="false">IF(Costos!$A48="","",N(Stock!$E34)+IF(LEFT(Stock!$C34,6)="Anillo",0,N(Stock!$D34)))</f>
        <v>0</v>
      </c>
      <c r="G31" s="69" t="n">
        <f aca="false">IF(Costos!$A48="","",N(Stock!$F34))</f>
        <v>0</v>
      </c>
      <c r="H31" s="69" t="n">
        <f aca="false">IF(Costos!$A48="","",N(Stock!$G34))</f>
        <v>0</v>
      </c>
      <c r="I31" s="42"/>
      <c r="J31" s="42"/>
      <c r="K31" s="76" t="n">
        <f aca="false">IF(Costos!$A48="","",N(Stock!$J34))</f>
        <v>1</v>
      </c>
    </row>
    <row r="32" customFormat="false" ht="15" hidden="false" customHeight="true" outlineLevel="0" collapsed="false">
      <c r="A32" s="68" t="str">
        <f aca="false">IF(Costos!$A49="","",Costos!$A49)</f>
        <v>Anillo Star</v>
      </c>
      <c r="B32" s="68" t="str">
        <f aca="false">IF(Costos!$A49="","",Costos!$B49&amp;"")</f>
        <v>Acero inoxidable</v>
      </c>
      <c r="C32" s="68" t="str">
        <f aca="false">IF(Costos!$A49="","",Costos!$C49&amp;"")</f>
        <v>Anillo</v>
      </c>
      <c r="D32" s="75" t="n">
        <f aca="false">IF(Costos!$A49="","",N(Costos!$K49))</f>
        <v>11500</v>
      </c>
      <c r="E32" s="69" t="n">
        <f aca="false">IF(Costos!$A49="","",N(Stock!$H35))</f>
        <v>0</v>
      </c>
      <c r="F32" s="69" t="n">
        <f aca="false">IF(Costos!$A49="","",N(Stock!$E35)+IF(LEFT(Stock!$C35,6)="Anillo",0,N(Stock!$D35)))</f>
        <v>0</v>
      </c>
      <c r="G32" s="69" t="n">
        <f aca="false">IF(Costos!$A49="","",N(Stock!$F35))</f>
        <v>0</v>
      </c>
      <c r="H32" s="69" t="n">
        <f aca="false">IF(Costos!$A49="","",N(Stock!$G35))</f>
        <v>0</v>
      </c>
      <c r="I32" s="42"/>
      <c r="J32" s="42"/>
      <c r="K32" s="76" t="n">
        <f aca="false">IF(Costos!$A49="","",N(Stock!$J35))</f>
        <v>1</v>
      </c>
    </row>
    <row r="33" customFormat="false" ht="15" hidden="false" customHeight="true" outlineLevel="0" collapsed="false">
      <c r="A33" s="68" t="str">
        <f aca="false">IF(Costos!$A50="","",Costos!$A50)</f>
        <v>Anillo Nodo</v>
      </c>
      <c r="B33" s="68" t="str">
        <f aca="false">IF(Costos!$A50="","",Costos!$B50&amp;"")</f>
        <v>Acero inoxidable</v>
      </c>
      <c r="C33" s="68" t="str">
        <f aca="false">IF(Costos!$A50="","",Costos!$C50&amp;"")</f>
        <v>Anillo</v>
      </c>
      <c r="D33" s="75" t="n">
        <f aca="false">IF(Costos!$A50="","",N(Costos!$K50))</f>
        <v>13000</v>
      </c>
      <c r="E33" s="69" t="n">
        <f aca="false">IF(Costos!$A50="","",N(Stock!$H36))</f>
        <v>0</v>
      </c>
      <c r="F33" s="69" t="n">
        <f aca="false">IF(Costos!$A50="","",N(Stock!$E36)+IF(LEFT(Stock!$C36,6)="Anillo",0,N(Stock!$D36)))</f>
        <v>0</v>
      </c>
      <c r="G33" s="69" t="n">
        <f aca="false">IF(Costos!$A50="","",N(Stock!$F36))</f>
        <v>0</v>
      </c>
      <c r="H33" s="69" t="n">
        <f aca="false">IF(Costos!$A50="","",N(Stock!$G36))</f>
        <v>0</v>
      </c>
      <c r="I33" s="42"/>
      <c r="J33" s="42"/>
      <c r="K33" s="76" t="n">
        <f aca="false">IF(Costos!$A50="","",N(Stock!$J36))</f>
        <v>2</v>
      </c>
    </row>
    <row r="34" customFormat="false" ht="15" hidden="false" customHeight="true" outlineLevel="0" collapsed="false">
      <c r="A34" s="68" t="str">
        <f aca="false">IF(Costos!$A51="","",Costos!$A51)</f>
        <v>Anillo Corazón II Plateado</v>
      </c>
      <c r="B34" s="68" t="str">
        <f aca="false">IF(Costos!$A51="","",Costos!$B51&amp;"")</f>
        <v>Acero inoxidable</v>
      </c>
      <c r="C34" s="68" t="str">
        <f aca="false">IF(Costos!$A51="","",Costos!$C51&amp;"")</f>
        <v>Anillo</v>
      </c>
      <c r="D34" s="75" t="n">
        <f aca="false">IF(Costos!$A51="","",N(Costos!$K51))</f>
        <v>12000</v>
      </c>
      <c r="E34" s="69" t="n">
        <f aca="false">IF(Costos!$A51="","",N(Stock!$H37))</f>
        <v>1</v>
      </c>
      <c r="F34" s="69" t="n">
        <f aca="false">IF(Costos!$A51="","",N(Stock!$E37)+IF(LEFT(Stock!$C37,6)="Anillo",0,N(Stock!$D37)))</f>
        <v>0</v>
      </c>
      <c r="G34" s="69" t="n">
        <f aca="false">IF(Costos!$A51="","",N(Stock!$F37))</f>
        <v>0</v>
      </c>
      <c r="H34" s="69" t="n">
        <f aca="false">IF(Costos!$A51="","",N(Stock!$G37))</f>
        <v>0</v>
      </c>
      <c r="I34" s="42"/>
      <c r="J34" s="42"/>
      <c r="K34" s="76" t="n">
        <f aca="false">IF(Costos!$A51="","",N(Stock!$J37))</f>
        <v>1</v>
      </c>
    </row>
    <row r="35" customFormat="false" ht="15" hidden="false" customHeight="true" outlineLevel="0" collapsed="false">
      <c r="A35" s="68" t="str">
        <f aca="false">IF(Costos!$A52="","",Costos!$A52)</f>
        <v>Anillo Irregular</v>
      </c>
      <c r="B35" s="68" t="str">
        <f aca="false">IF(Costos!$A52="","",Costos!$B52&amp;"")</f>
        <v>Acero inoxidable</v>
      </c>
      <c r="C35" s="68" t="str">
        <f aca="false">IF(Costos!$A52="","",Costos!$C52&amp;"")</f>
        <v>Anillo</v>
      </c>
      <c r="D35" s="75" t="n">
        <f aca="false">IF(Costos!$A52="","",N(Costos!$K52))</f>
        <v>11500</v>
      </c>
      <c r="E35" s="69" t="n">
        <f aca="false">IF(Costos!$A52="","",N(Stock!$H38))</f>
        <v>0</v>
      </c>
      <c r="F35" s="69" t="n">
        <f aca="false">IF(Costos!$A52="","",N(Stock!$E38)+IF(LEFT(Stock!$C38,6)="Anillo",0,N(Stock!$D38)))</f>
        <v>0</v>
      </c>
      <c r="G35" s="69" t="n">
        <f aca="false">IF(Costos!$A52="","",N(Stock!$F38))</f>
        <v>0</v>
      </c>
      <c r="H35" s="69" t="n">
        <f aca="false">IF(Costos!$A52="","",N(Stock!$G38))</f>
        <v>0</v>
      </c>
      <c r="I35" s="42"/>
      <c r="J35" s="42"/>
      <c r="K35" s="76" t="n">
        <f aca="false">IF(Costos!$A52="","",N(Stock!$J38))</f>
        <v>2</v>
      </c>
    </row>
    <row r="36" customFormat="false" ht="15" hidden="false" customHeight="true" outlineLevel="0" collapsed="false">
      <c r="A36" s="68" t="str">
        <f aca="false">IF(Costos!$A53="","",Costos!$A53)</f>
        <v>Anillo Zafira</v>
      </c>
      <c r="B36" s="68" t="str">
        <f aca="false">IF(Costos!$A53="","",Costos!$B53&amp;"")</f>
        <v>Acero inoxidable</v>
      </c>
      <c r="C36" s="68" t="str">
        <f aca="false">IF(Costos!$A53="","",Costos!$C53&amp;"")</f>
        <v>Anillo</v>
      </c>
      <c r="D36" s="75" t="n">
        <f aca="false">IF(Costos!$A53="","",N(Costos!$K53))</f>
        <v>13000</v>
      </c>
      <c r="E36" s="69" t="n">
        <f aca="false">IF(Costos!$A53="","",N(Stock!$H39))</f>
        <v>1</v>
      </c>
      <c r="F36" s="69" t="n">
        <f aca="false">IF(Costos!$A53="","",N(Stock!$E39)+IF(LEFT(Stock!$C39,6)="Anillo",0,N(Stock!$D39)))</f>
        <v>0</v>
      </c>
      <c r="G36" s="69" t="n">
        <f aca="false">IF(Costos!$A53="","",N(Stock!$F39))</f>
        <v>0</v>
      </c>
      <c r="H36" s="69" t="n">
        <f aca="false">IF(Costos!$A53="","",N(Stock!$G39))</f>
        <v>0</v>
      </c>
      <c r="I36" s="42"/>
      <c r="J36" s="42"/>
      <c r="K36" s="76" t="n">
        <f aca="false">IF(Costos!$A53="","",N(Stock!$J39))</f>
        <v>1</v>
      </c>
    </row>
    <row r="37" customFormat="false" ht="15" hidden="false" customHeight="true" outlineLevel="0" collapsed="false">
      <c r="A37" s="68" t="str">
        <f aca="false">IF(Costos!$A54="","",Costos!$A54)</f>
        <v>Anillo Norix</v>
      </c>
      <c r="B37" s="68" t="str">
        <f aca="false">IF(Costos!$A54="","",Costos!$B54&amp;"")</f>
        <v>Acero inoxidable</v>
      </c>
      <c r="C37" s="68" t="str">
        <f aca="false">IF(Costos!$A54="","",Costos!$C54&amp;"")</f>
        <v>Anillo</v>
      </c>
      <c r="D37" s="75" t="n">
        <f aca="false">IF(Costos!$A54="","",N(Costos!$K54))</f>
        <v>11500</v>
      </c>
      <c r="E37" s="69" t="n">
        <f aca="false">IF(Costos!$A54="","",N(Stock!$H40))</f>
        <v>0</v>
      </c>
      <c r="F37" s="69" t="n">
        <f aca="false">IF(Costos!$A54="","",N(Stock!$E40)+IF(LEFT(Stock!$C40,6)="Anillo",0,N(Stock!$D40)))</f>
        <v>0</v>
      </c>
      <c r="G37" s="69" t="n">
        <f aca="false">IF(Costos!$A54="","",N(Stock!$F40))</f>
        <v>0</v>
      </c>
      <c r="H37" s="69" t="n">
        <f aca="false">IF(Costos!$A54="","",N(Stock!$G40))</f>
        <v>0</v>
      </c>
      <c r="I37" s="42"/>
      <c r="J37" s="42"/>
      <c r="K37" s="76" t="n">
        <f aca="false">IF(Costos!$A54="","",N(Stock!$J40))</f>
        <v>2</v>
      </c>
    </row>
    <row r="38" customFormat="false" ht="15" hidden="false" customHeight="true" outlineLevel="0" collapsed="false">
      <c r="A38" s="68" t="str">
        <f aca="false">IF(Costos!$A55="","",Costos!$A55)</f>
        <v>Anillo Vanton</v>
      </c>
      <c r="B38" s="68" t="str">
        <f aca="false">IF(Costos!$A55="","",Costos!$B55&amp;"")</f>
        <v>Acero inoxidable</v>
      </c>
      <c r="C38" s="68" t="str">
        <f aca="false">IF(Costos!$A55="","",Costos!$C55&amp;"")</f>
        <v>Anillo</v>
      </c>
      <c r="D38" s="75" t="n">
        <f aca="false">IF(Costos!$A55="","",N(Costos!$K55))</f>
        <v>11500</v>
      </c>
      <c r="E38" s="69" t="n">
        <f aca="false">IF(Costos!$A55="","",N(Stock!$H41))</f>
        <v>0</v>
      </c>
      <c r="F38" s="69" t="n">
        <f aca="false">IF(Costos!$A55="","",N(Stock!$E41)+IF(LEFT(Stock!$C41,6)="Anillo",0,N(Stock!$D41)))</f>
        <v>0</v>
      </c>
      <c r="G38" s="69" t="n">
        <f aca="false">IF(Costos!$A55="","",N(Stock!$F41))</f>
        <v>0</v>
      </c>
      <c r="H38" s="69" t="n">
        <f aca="false">IF(Costos!$A55="","",N(Stock!$G41))</f>
        <v>0</v>
      </c>
      <c r="I38" s="42"/>
      <c r="J38" s="42"/>
      <c r="K38" s="76" t="n">
        <f aca="false">IF(Costos!$A55="","",N(Stock!$J41))</f>
        <v>2</v>
      </c>
    </row>
    <row r="39" customFormat="false" ht="15" hidden="false" customHeight="true" outlineLevel="0" collapsed="false">
      <c r="A39" s="68" t="str">
        <f aca="false">IF(Costos!$A56="","",Costos!$A56)</f>
        <v>Anillo Azmira</v>
      </c>
      <c r="B39" s="68" t="str">
        <f aca="false">IF(Costos!$A56="","",Costos!$B56&amp;"")</f>
        <v>Acero inoxidable</v>
      </c>
      <c r="C39" s="68" t="str">
        <f aca="false">IF(Costos!$A56="","",Costos!$C56&amp;"")</f>
        <v>Anillo</v>
      </c>
      <c r="D39" s="75" t="n">
        <f aca="false">IF(Costos!$A56="","",N(Costos!$K56))</f>
        <v>11500</v>
      </c>
      <c r="E39" s="69" t="n">
        <f aca="false">IF(Costos!$A56="","",N(Stock!$H42))</f>
        <v>0</v>
      </c>
      <c r="F39" s="69" t="n">
        <f aca="false">IF(Costos!$A56="","",N(Stock!$E42)+IF(LEFT(Stock!$C42,6)="Anillo",0,N(Stock!$D42)))</f>
        <v>0</v>
      </c>
      <c r="G39" s="69" t="n">
        <f aca="false">IF(Costos!$A56="","",N(Stock!$F42))</f>
        <v>0</v>
      </c>
      <c r="H39" s="69" t="n">
        <f aca="false">IF(Costos!$A56="","",N(Stock!$G42))</f>
        <v>0</v>
      </c>
      <c r="I39" s="42"/>
      <c r="J39" s="42"/>
      <c r="K39" s="76" t="n">
        <f aca="false">IF(Costos!$A56="","",N(Stock!$J42))</f>
        <v>1</v>
      </c>
    </row>
    <row r="40" customFormat="false" ht="15" hidden="false" customHeight="true" outlineLevel="0" collapsed="false">
      <c r="A40" s="68" t="str">
        <f aca="false">IF(Costos!$A57="","",Costos!$A57)</f>
        <v>Anillo Mina</v>
      </c>
      <c r="B40" s="68" t="str">
        <f aca="false">IF(Costos!$A57="","",Costos!$B57&amp;"")</f>
        <v>Acero inoxidable</v>
      </c>
      <c r="C40" s="68" t="str">
        <f aca="false">IF(Costos!$A57="","",Costos!$C57&amp;"")</f>
        <v>Anillo</v>
      </c>
      <c r="D40" s="75" t="n">
        <f aca="false">IF(Costos!$A57="","",N(Costos!$K57))</f>
        <v>13000</v>
      </c>
      <c r="E40" s="69" t="n">
        <f aca="false">IF(Costos!$A57="","",N(Stock!$H43))</f>
        <v>0</v>
      </c>
      <c r="F40" s="69" t="n">
        <f aca="false">IF(Costos!$A57="","",N(Stock!$E43)+IF(LEFT(Stock!$C43,6)="Anillo",0,N(Stock!$D43)))</f>
        <v>0</v>
      </c>
      <c r="G40" s="69" t="n">
        <f aca="false">IF(Costos!$A57="","",N(Stock!$F43))</f>
        <v>0</v>
      </c>
      <c r="H40" s="69" t="n">
        <f aca="false">IF(Costos!$A57="","",N(Stock!$G43))</f>
        <v>0</v>
      </c>
      <c r="I40" s="42"/>
      <c r="J40" s="42"/>
      <c r="K40" s="76" t="n">
        <f aca="false">IF(Costos!$A57="","",N(Stock!$J43))</f>
        <v>2</v>
      </c>
    </row>
    <row r="41" customFormat="false" ht="15" hidden="false" customHeight="true" outlineLevel="0" collapsed="false">
      <c r="A41" s="68" t="str">
        <f aca="false">IF(Costos!$A58="","",Costos!$A58)</f>
        <v>Anillo Virel</v>
      </c>
      <c r="B41" s="68" t="str">
        <f aca="false">IF(Costos!$A58="","",Costos!$B58&amp;"")</f>
        <v>Acero inoxidable</v>
      </c>
      <c r="C41" s="68" t="str">
        <f aca="false">IF(Costos!$A58="","",Costos!$C58&amp;"")</f>
        <v>Anillo</v>
      </c>
      <c r="D41" s="75" t="n">
        <f aca="false">IF(Costos!$A58="","",N(Costos!$K58))</f>
        <v>12000</v>
      </c>
      <c r="E41" s="69" t="n">
        <f aca="false">IF(Costos!$A58="","",N(Stock!$H44))</f>
        <v>0</v>
      </c>
      <c r="F41" s="69" t="n">
        <f aca="false">IF(Costos!$A58="","",N(Stock!$E44)+IF(LEFT(Stock!$C44,6)="Anillo",0,N(Stock!$D44)))</f>
        <v>0</v>
      </c>
      <c r="G41" s="69" t="n">
        <f aca="false">IF(Costos!$A58="","",N(Stock!$F44))</f>
        <v>0</v>
      </c>
      <c r="H41" s="69" t="n">
        <f aca="false">IF(Costos!$A58="","",N(Stock!$G44))</f>
        <v>0</v>
      </c>
      <c r="I41" s="42"/>
      <c r="J41" s="42"/>
      <c r="K41" s="76" t="n">
        <f aca="false">IF(Costos!$A58="","",N(Stock!$J44))</f>
        <v>2</v>
      </c>
    </row>
    <row r="42" customFormat="false" ht="15" hidden="false" customHeight="true" outlineLevel="0" collapsed="false">
      <c r="A42" s="68" t="str">
        <f aca="false">IF(Costos!$A59="","",Costos!$A59)</f>
        <v/>
      </c>
      <c r="B42" s="68" t="str">
        <f aca="false">IF(Costos!$A59="","",Costos!$B59&amp;"")</f>
        <v/>
      </c>
      <c r="C42" s="68" t="str">
        <f aca="false">IF(Costos!$A59="","",Costos!$C59&amp;"")</f>
        <v/>
      </c>
      <c r="D42" s="75" t="str">
        <f aca="false">IF(Costos!$A59="","",N(Costos!$K59))</f>
        <v/>
      </c>
      <c r="E42" s="69" t="str">
        <f aca="false">IF(Costos!$A59="","",N(Stock!$H45))</f>
        <v/>
      </c>
      <c r="F42" s="69" t="str">
        <f aca="false">IF(Costos!$A59="","",N(Stock!$E45)+IF(LEFT(Stock!$C45,6)="Anillo",0,N(Stock!$D45)))</f>
        <v/>
      </c>
      <c r="G42" s="69" t="str">
        <f aca="false">IF(Costos!$A59="","",N(Stock!$F45))</f>
        <v/>
      </c>
      <c r="H42" s="69" t="str">
        <f aca="false">IF(Costos!$A59="","",N(Stock!$G45))</f>
        <v/>
      </c>
      <c r="I42" s="42"/>
      <c r="J42" s="42"/>
      <c r="K42" s="76" t="str">
        <f aca="false">IF(Costos!$A59="","",N(Stock!$J45))</f>
        <v/>
      </c>
    </row>
    <row r="43" customFormat="false" ht="15" hidden="false" customHeight="true" outlineLevel="0" collapsed="false">
      <c r="A43" s="68" t="str">
        <f aca="false">IF(Costos!$A60="","",Costos!$A60)</f>
        <v>Cubic Mini cuadrado</v>
      </c>
      <c r="B43" s="68" t="str">
        <f aca="false">IF(Costos!$A60="","",Costos!$B60&amp;"")</f>
        <v>Plata 925</v>
      </c>
      <c r="C43" s="68" t="str">
        <f aca="false">IF(Costos!$A60="","",Costos!$C60&amp;"")</f>
        <v>Aros</v>
      </c>
      <c r="D43" s="75" t="n">
        <f aca="false">IF(Costos!$A60="","",N(Costos!$K60))</f>
        <v>12000</v>
      </c>
      <c r="E43" s="69" t="n">
        <f aca="false">IF(Costos!$A60="","",N(Stock!$H46))</f>
        <v>0</v>
      </c>
      <c r="F43" s="69" t="n">
        <f aca="false">IF(Costos!$A60="","",N(Stock!$E46)+IF(LEFT(Stock!$C46,6)="Anillo",0,N(Stock!$D46)))</f>
        <v>0</v>
      </c>
      <c r="G43" s="69" t="n">
        <f aca="false">IF(Costos!$A60="","",N(Stock!$F46))</f>
        <v>0</v>
      </c>
      <c r="H43" s="69" t="n">
        <f aca="false">IF(Costos!$A60="","",N(Stock!$G46))</f>
        <v>0</v>
      </c>
      <c r="I43" s="42"/>
      <c r="J43" s="42"/>
      <c r="K43" s="76" t="n">
        <f aca="false">IF(Costos!$A60="","",N(Stock!$J46))</f>
        <v>2</v>
      </c>
    </row>
    <row r="44" customFormat="false" ht="15" hidden="false" customHeight="true" outlineLevel="0" collapsed="false">
      <c r="A44" s="68" t="str">
        <f aca="false">IF(Costos!$A61="","",Costos!$A61)</f>
        <v>Aros Halo N°2 (14 mm)</v>
      </c>
      <c r="B44" s="68" t="str">
        <f aca="false">IF(Costos!$A61="","",Costos!$B61&amp;"")</f>
        <v>Plata 925</v>
      </c>
      <c r="C44" s="68" t="str">
        <f aca="false">IF(Costos!$A61="","",Costos!$C61&amp;"")</f>
        <v>Aros</v>
      </c>
      <c r="D44" s="75" t="n">
        <f aca="false">IF(Costos!$A61="","",N(Costos!$K61))</f>
        <v>25000</v>
      </c>
      <c r="E44" s="69" t="n">
        <f aca="false">IF(Costos!$A61="","",N(Stock!$H47))</f>
        <v>0</v>
      </c>
      <c r="F44" s="69" t="n">
        <f aca="false">IF(Costos!$A61="","",N(Stock!$E47)+IF(LEFT(Stock!$C47,6)="Anillo",0,N(Stock!$D47)))</f>
        <v>0</v>
      </c>
      <c r="G44" s="69" t="n">
        <f aca="false">IF(Costos!$A61="","",N(Stock!$F47))</f>
        <v>0</v>
      </c>
      <c r="H44" s="69" t="n">
        <f aca="false">IF(Costos!$A61="","",N(Stock!$G47))</f>
        <v>0</v>
      </c>
      <c r="I44" s="42"/>
      <c r="J44" s="42"/>
      <c r="K44" s="76" t="n">
        <f aca="false">IF(Costos!$A61="","",N(Stock!$J47))</f>
        <v>2</v>
      </c>
    </row>
    <row r="45" customFormat="false" ht="15" hidden="false" customHeight="true" outlineLevel="0" collapsed="false">
      <c r="A45" s="68" t="str">
        <f aca="false">IF(Costos!$A62="","",Costos!$A62)</f>
        <v>Aros Gala (12 mm)</v>
      </c>
      <c r="B45" s="68" t="str">
        <f aca="false">IF(Costos!$A62="","",Costos!$B62&amp;"")</f>
        <v>Plata 925</v>
      </c>
      <c r="C45" s="68" t="str">
        <f aca="false">IF(Costos!$A62="","",Costos!$C62&amp;"")</f>
        <v>Aros</v>
      </c>
      <c r="D45" s="75" t="n">
        <f aca="false">IF(Costos!$A62="","",N(Costos!$K62))</f>
        <v>27000</v>
      </c>
      <c r="E45" s="69" t="n">
        <f aca="false">IF(Costos!$A62="","",N(Stock!$H48))</f>
        <v>0</v>
      </c>
      <c r="F45" s="69" t="n">
        <f aca="false">IF(Costos!$A62="","",N(Stock!$E48)+IF(LEFT(Stock!$C48,6)="Anillo",0,N(Stock!$D48)))</f>
        <v>0</v>
      </c>
      <c r="G45" s="69" t="n">
        <f aca="false">IF(Costos!$A62="","",N(Stock!$F48))</f>
        <v>0</v>
      </c>
      <c r="H45" s="69" t="n">
        <f aca="false">IF(Costos!$A62="","",N(Stock!$G48))</f>
        <v>0</v>
      </c>
      <c r="I45" s="42"/>
      <c r="J45" s="42"/>
      <c r="K45" s="76" t="n">
        <f aca="false">IF(Costos!$A62="","",N(Stock!$J48))</f>
        <v>1</v>
      </c>
    </row>
    <row r="46" customFormat="false" ht="15" hidden="false" customHeight="true" outlineLevel="0" collapsed="false">
      <c r="A46" s="68" t="str">
        <f aca="false">IF(Costos!$A63="","",Costos!$A63)</f>
        <v>Argollitas 10mm</v>
      </c>
      <c r="B46" s="68" t="str">
        <f aca="false">IF(Costos!$A63="","",Costos!$B63&amp;"")</f>
        <v>Plata 925</v>
      </c>
      <c r="C46" s="68" t="str">
        <f aca="false">IF(Costos!$A63="","",Costos!$C63&amp;"")</f>
        <v>Aros</v>
      </c>
      <c r="D46" s="75" t="n">
        <f aca="false">IF(Costos!$A63="","",N(Costos!$K63))</f>
        <v>7000</v>
      </c>
      <c r="E46" s="69" t="n">
        <f aca="false">IF(Costos!$A63="","",N(Stock!$H49))</f>
        <v>1</v>
      </c>
      <c r="F46" s="69" t="n">
        <f aca="false">IF(Costos!$A63="","",N(Stock!$E49)+IF(LEFT(Stock!$C49,6)="Anillo",0,N(Stock!$D49)))</f>
        <v>1</v>
      </c>
      <c r="G46" s="69" t="n">
        <f aca="false">IF(Costos!$A63="","",N(Stock!$F49))</f>
        <v>0</v>
      </c>
      <c r="H46" s="69" t="n">
        <f aca="false">IF(Costos!$A63="","",N(Stock!$G49))</f>
        <v>0</v>
      </c>
      <c r="I46" s="42"/>
      <c r="J46" s="42"/>
      <c r="K46" s="76" t="n">
        <f aca="false">IF(Costos!$A63="","",N(Stock!$J49))</f>
        <v>1</v>
      </c>
    </row>
    <row r="47" customFormat="false" ht="15" hidden="false" customHeight="true" outlineLevel="0" collapsed="false">
      <c r="A47" s="68" t="str">
        <f aca="false">IF(Costos!$A64="","",Costos!$A64)</f>
        <v>Anillos Corazones III  </v>
      </c>
      <c r="B47" s="68" t="str">
        <f aca="false">IF(Costos!$A64="","",Costos!$B64&amp;"")</f>
        <v>Plata 925</v>
      </c>
      <c r="C47" s="68" t="str">
        <f aca="false">IF(Costos!$A64="","",Costos!$C64&amp;"")</f>
        <v>Anillo</v>
      </c>
      <c r="D47" s="75" t="n">
        <f aca="false">IF(Costos!$A64="","",N(Costos!$K64))</f>
        <v>23500</v>
      </c>
      <c r="E47" s="69" t="n">
        <f aca="false">IF(Costos!$A64="","",N(Stock!$H50))</f>
        <v>2</v>
      </c>
      <c r="F47" s="69" t="n">
        <f aca="false">IF(Costos!$A64="","",N(Stock!$E50)+IF(LEFT(Stock!$C50,6)="Anillo",0,N(Stock!$D50)))</f>
        <v>0</v>
      </c>
      <c r="G47" s="69" t="n">
        <f aca="false">IF(Costos!$A64="","",N(Stock!$F50))</f>
        <v>0</v>
      </c>
      <c r="H47" s="69" t="n">
        <f aca="false">IF(Costos!$A64="","",N(Stock!$G50))</f>
        <v>0</v>
      </c>
      <c r="I47" s="42"/>
      <c r="J47" s="42"/>
      <c r="K47" s="76" t="n">
        <f aca="false">IF(Costos!$A64="","",N(Stock!$J50))</f>
        <v>1</v>
      </c>
    </row>
    <row r="48" customFormat="false" ht="15" hidden="false" customHeight="true" outlineLevel="0" collapsed="false">
      <c r="A48" s="68" t="str">
        <f aca="false">IF(Costos!$A65="","",Costos!$A65)</f>
        <v>Anillo Vena</v>
      </c>
      <c r="B48" s="68" t="str">
        <f aca="false">IF(Costos!$A65="","",Costos!$B65&amp;"")</f>
        <v>Plata 925</v>
      </c>
      <c r="C48" s="68" t="str">
        <f aca="false">IF(Costos!$A65="","",Costos!$C65&amp;"")</f>
        <v>Anillo</v>
      </c>
      <c r="D48" s="75" t="n">
        <f aca="false">IF(Costos!$A65="","",N(Costos!$K65))</f>
        <v>25000</v>
      </c>
      <c r="E48" s="69" t="n">
        <f aca="false">IF(Costos!$A65="","",N(Stock!$H51))</f>
        <v>0</v>
      </c>
      <c r="F48" s="69" t="n">
        <f aca="false">IF(Costos!$A65="","",N(Stock!$E51)+IF(LEFT(Stock!$C51,6)="Anillo",0,N(Stock!$D51)))</f>
        <v>0</v>
      </c>
      <c r="G48" s="69" t="n">
        <f aca="false">IF(Costos!$A65="","",N(Stock!$F51))</f>
        <v>0</v>
      </c>
      <c r="H48" s="69" t="n">
        <f aca="false">IF(Costos!$A65="","",N(Stock!$G51))</f>
        <v>0</v>
      </c>
      <c r="I48" s="42"/>
      <c r="J48" s="42"/>
      <c r="K48" s="76" t="n">
        <f aca="false">IF(Costos!$A65="","",N(Stock!$J51))</f>
        <v>1</v>
      </c>
    </row>
    <row r="49" customFormat="false" ht="15" hidden="false" customHeight="true" outlineLevel="0" collapsed="false">
      <c r="A49" s="68" t="str">
        <f aca="false">IF(Costos!$A66="","",Costos!$A66)</f>
        <v>Anillo Deriva</v>
      </c>
      <c r="B49" s="68" t="str">
        <f aca="false">IF(Costos!$A66="","",Costos!$B66&amp;"")</f>
        <v>Plata 925</v>
      </c>
      <c r="C49" s="68" t="str">
        <f aca="false">IF(Costos!$A66="","",Costos!$C66&amp;"")</f>
        <v>Anillo</v>
      </c>
      <c r="D49" s="75" t="n">
        <f aca="false">IF(Costos!$A66="","",N(Costos!$K66))</f>
        <v>25500</v>
      </c>
      <c r="E49" s="69" t="n">
        <f aca="false">IF(Costos!$A66="","",N(Stock!$H52))</f>
        <v>0</v>
      </c>
      <c r="F49" s="69" t="n">
        <f aca="false">IF(Costos!$A66="","",N(Stock!$E52)+IF(LEFT(Stock!$C52,6)="Anillo",0,N(Stock!$D52)))</f>
        <v>0</v>
      </c>
      <c r="G49" s="69" t="n">
        <f aca="false">IF(Costos!$A66="","",N(Stock!$F52))</f>
        <v>0</v>
      </c>
      <c r="H49" s="69" t="n">
        <f aca="false">IF(Costos!$A66="","",N(Stock!$G52))</f>
        <v>0</v>
      </c>
      <c r="I49" s="42"/>
      <c r="J49" s="42"/>
      <c r="K49" s="76" t="n">
        <f aca="false">IF(Costos!$A66="","",N(Stock!$J52))</f>
        <v>1</v>
      </c>
    </row>
    <row r="50" customFormat="false" ht="15" hidden="false" customHeight="true" outlineLevel="0" collapsed="false">
      <c r="A50" s="68" t="str">
        <f aca="false">IF(Costos!$A67="","",Costos!$A67)</f>
        <v>Anillo Sin Fin</v>
      </c>
      <c r="B50" s="68" t="str">
        <f aca="false">IF(Costos!$A67="","",Costos!$B67&amp;"")</f>
        <v>Plata 925</v>
      </c>
      <c r="C50" s="68" t="str">
        <f aca="false">IF(Costos!$A67="","",Costos!$C67&amp;"")</f>
        <v>Anillo</v>
      </c>
      <c r="D50" s="75" t="n">
        <f aca="false">IF(Costos!$A67="","",N(Costos!$K67))</f>
        <v>20000</v>
      </c>
      <c r="E50" s="69" t="n">
        <f aca="false">IF(Costos!$A67="","",N(Stock!$H53))</f>
        <v>1</v>
      </c>
      <c r="F50" s="69" t="n">
        <f aca="false">IF(Costos!$A67="","",N(Stock!$E53)+IF(LEFT(Stock!$C53,6)="Anillo",0,N(Stock!$D53)))</f>
        <v>0</v>
      </c>
      <c r="G50" s="69" t="n">
        <f aca="false">IF(Costos!$A67="","",N(Stock!$F53))</f>
        <v>1</v>
      </c>
      <c r="H50" s="69" t="n">
        <f aca="false">IF(Costos!$A67="","",N(Stock!$G53))</f>
        <v>0</v>
      </c>
      <c r="I50" s="42"/>
      <c r="J50" s="42"/>
      <c r="K50" s="76" t="n">
        <f aca="false">IF(Costos!$A67="","",N(Stock!$J53))</f>
        <v>5</v>
      </c>
    </row>
    <row r="51" customFormat="false" ht="15" hidden="false" customHeight="true" outlineLevel="0" collapsed="false">
      <c r="A51" s="68" t="str">
        <f aca="false">IF(Costos!$A68="","",Costos!$A68)</f>
        <v>Collar Muna Circulo</v>
      </c>
      <c r="B51" s="68" t="str">
        <f aca="false">IF(Costos!$A68="","",Costos!$B68&amp;"")</f>
        <v>Plata 925</v>
      </c>
      <c r="C51" s="68" t="str">
        <f aca="false">IF(Costos!$A68="","",Costos!$C68&amp;"")</f>
        <v>Collar</v>
      </c>
      <c r="D51" s="75" t="n">
        <f aca="false">IF(Costos!$A68="","",N(Costos!$K68))</f>
        <v>30000</v>
      </c>
      <c r="E51" s="69" t="n">
        <f aca="false">IF(Costos!$A68="","",N(Stock!$H54))</f>
        <v>1</v>
      </c>
      <c r="F51" s="69" t="n">
        <f aca="false">IF(Costos!$A68="","",N(Stock!$E54)+IF(LEFT(Stock!$C54,6)="Anillo",0,N(Stock!$D54)))</f>
        <v>1</v>
      </c>
      <c r="G51" s="69" t="n">
        <f aca="false">IF(Costos!$A68="","",N(Stock!$F54))</f>
        <v>0</v>
      </c>
      <c r="H51" s="69" t="n">
        <f aca="false">IF(Costos!$A68="","",N(Stock!$G54))</f>
        <v>0</v>
      </c>
      <c r="I51" s="42"/>
      <c r="J51" s="42"/>
      <c r="K51" s="76" t="n">
        <f aca="false">IF(Costos!$A68="","",N(Stock!$J54))</f>
        <v>1</v>
      </c>
    </row>
    <row r="52" customFormat="false" ht="15" hidden="false" customHeight="true" outlineLevel="0" collapsed="false">
      <c r="A52" s="68" t="str">
        <f aca="false">IF(Costos!$A69="","",Costos!$A69)</f>
        <v>Collar Muna Corazón</v>
      </c>
      <c r="B52" s="68" t="str">
        <f aca="false">IF(Costos!$A69="","",Costos!$B69&amp;"")</f>
        <v>Plata 925</v>
      </c>
      <c r="C52" s="68" t="str">
        <f aca="false">IF(Costos!$A69="","",Costos!$C69&amp;"")</f>
        <v>Collar</v>
      </c>
      <c r="D52" s="75" t="n">
        <f aca="false">IF(Costos!$A69="","",N(Costos!$K69))</f>
        <v>31000</v>
      </c>
      <c r="E52" s="69" t="n">
        <f aca="false">IF(Costos!$A69="","",N(Stock!$H55))</f>
        <v>1</v>
      </c>
      <c r="F52" s="69" t="n">
        <f aca="false">IF(Costos!$A69="","",N(Stock!$E55)+IF(LEFT(Stock!$C55,6)="Anillo",0,N(Stock!$D55)))</f>
        <v>1</v>
      </c>
      <c r="G52" s="69" t="n">
        <f aca="false">IF(Costos!$A69="","",N(Stock!$F55))</f>
        <v>0</v>
      </c>
      <c r="H52" s="69" t="n">
        <f aca="false">IF(Costos!$A69="","",N(Stock!$G55))</f>
        <v>0</v>
      </c>
      <c r="I52" s="42"/>
      <c r="J52" s="42"/>
      <c r="K52" s="76" t="n">
        <f aca="false">IF(Costos!$A69="","",N(Stock!$J55))</f>
        <v>1</v>
      </c>
    </row>
    <row r="53" customFormat="false" ht="15" hidden="false" customHeight="true" outlineLevel="0" collapsed="false">
      <c r="A53" s="68" t="str">
        <f aca="false">IF(Costos!$A70="","",Costos!$A70)</f>
        <v>Collar Fino Circulo</v>
      </c>
      <c r="B53" s="68" t="str">
        <f aca="false">IF(Costos!$A70="","",Costos!$B70&amp;"")</f>
        <v>Plata 925</v>
      </c>
      <c r="C53" s="68" t="str">
        <f aca="false">IF(Costos!$A70="","",Costos!$C70&amp;"")</f>
        <v>Collar</v>
      </c>
      <c r="D53" s="75" t="n">
        <f aca="false">IF(Costos!$A70="","",N(Costos!$K70))</f>
        <v>28000</v>
      </c>
      <c r="E53" s="69" t="n">
        <f aca="false">IF(Costos!$A70="","",N(Stock!$H56))</f>
        <v>0</v>
      </c>
      <c r="F53" s="69" t="n">
        <f aca="false">IF(Costos!$A70="","",N(Stock!$E56)+IF(LEFT(Stock!$C56,6)="Anillo",0,N(Stock!$D56)))</f>
        <v>0</v>
      </c>
      <c r="G53" s="69" t="n">
        <f aca="false">IF(Costos!$A70="","",N(Stock!$F56))</f>
        <v>0</v>
      </c>
      <c r="H53" s="69" t="n">
        <f aca="false">IF(Costos!$A70="","",N(Stock!$G56))</f>
        <v>0</v>
      </c>
      <c r="I53" s="42"/>
      <c r="J53" s="42"/>
      <c r="K53" s="76" t="n">
        <f aca="false">IF(Costos!$A70="","",N(Stock!$J56))</f>
        <v>1</v>
      </c>
    </row>
    <row r="54" customFormat="false" ht="15" hidden="false" customHeight="true" outlineLevel="0" collapsed="false">
      <c r="A54" s="68" t="str">
        <f aca="false">IF(Costos!$A71="","",Costos!$A71)</f>
        <v/>
      </c>
      <c r="B54" s="68" t="str">
        <f aca="false">IF(Costos!$A71="","",Costos!$B71&amp;"")</f>
        <v/>
      </c>
      <c r="C54" s="68" t="str">
        <f aca="false">IF(Costos!$A71="","",Costos!$C71&amp;"")</f>
        <v/>
      </c>
      <c r="D54" s="75" t="str">
        <f aca="false">IF(Costos!$A71="","",N(Costos!$K71))</f>
        <v/>
      </c>
      <c r="E54" s="69" t="str">
        <f aca="false">IF(Costos!$A71="","",N(Stock!$H57))</f>
        <v/>
      </c>
      <c r="F54" s="69" t="str">
        <f aca="false">IF(Costos!$A71="","",N(Stock!$E57)+IF(LEFT(Stock!$C57,6)="Anillo",0,N(Stock!$D57)))</f>
        <v/>
      </c>
      <c r="G54" s="69" t="str">
        <f aca="false">IF(Costos!$A71="","",N(Stock!$F57))</f>
        <v/>
      </c>
      <c r="H54" s="69" t="str">
        <f aca="false">IF(Costos!$A71="","",N(Stock!$G57))</f>
        <v/>
      </c>
      <c r="I54" s="42"/>
      <c r="J54" s="42"/>
      <c r="K54" s="76" t="str">
        <f aca="false">IF(Costos!$A71="","",N(Stock!$J57))</f>
        <v/>
      </c>
    </row>
    <row r="55" customFormat="false" ht="15" hidden="false" customHeight="true" outlineLevel="0" collapsed="false">
      <c r="A55" s="68" t="str">
        <f aca="false">IF(Costos!$A72="","",Costos!$A72)</f>
        <v>Anillo Cala</v>
      </c>
      <c r="B55" s="68" t="str">
        <f aca="false">IF(Costos!$A72="","",Costos!$B72&amp;"")</f>
        <v>Acero dorado</v>
      </c>
      <c r="C55" s="68" t="str">
        <f aca="false">IF(Costos!$A72="","",Costos!$C72&amp;"")</f>
        <v>Anillo</v>
      </c>
      <c r="D55" s="75" t="n">
        <f aca="false">IF(Costos!$A72="","",N(Costos!$K72))</f>
        <v>18000</v>
      </c>
      <c r="E55" s="69" t="n">
        <f aca="false">IF(Costos!$A72="","",N(Stock!$H58))</f>
        <v>2</v>
      </c>
      <c r="F55" s="69" t="n">
        <f aca="false">IF(Costos!$A72="","",N(Stock!$E58)+IF(LEFT(Stock!$C58,6)="Anillo",0,N(Stock!$D58)))</f>
        <v>1</v>
      </c>
      <c r="G55" s="69" t="n">
        <f aca="false">IF(Costos!$A72="","",N(Stock!$F58))</f>
        <v>1</v>
      </c>
      <c r="H55" s="69" t="n">
        <f aca="false">IF(Costos!$A72="","",N(Stock!$G58))</f>
        <v>0</v>
      </c>
      <c r="I55" s="42"/>
      <c r="J55" s="42"/>
      <c r="K55" s="76" t="n">
        <f aca="false">IF(Costos!$A72="","",N(Stock!$J58))</f>
        <v>0</v>
      </c>
    </row>
    <row r="56" customFormat="false" ht="15" hidden="false" customHeight="true" outlineLevel="0" collapsed="false">
      <c r="A56" s="68" t="str">
        <f aca="false">IF(Costos!$A73="","",Costos!$A73)</f>
        <v>Anillo Malvina Dorado</v>
      </c>
      <c r="B56" s="68" t="str">
        <f aca="false">IF(Costos!$A73="","",Costos!$B73&amp;"")</f>
        <v>Acero dorado</v>
      </c>
      <c r="C56" s="68" t="str">
        <f aca="false">IF(Costos!$A73="","",Costos!$C73&amp;"")</f>
        <v>Anillo</v>
      </c>
      <c r="D56" s="75" t="n">
        <f aca="false">IF(Costos!$A73="","",N(Costos!$K73))</f>
        <v>13000</v>
      </c>
      <c r="E56" s="69" t="n">
        <f aca="false">IF(Costos!$A73="","",N(Stock!$H59))</f>
        <v>2</v>
      </c>
      <c r="F56" s="69" t="n">
        <f aca="false">IF(Costos!$A73="","",N(Stock!$E59)+IF(LEFT(Stock!$C59,6)="Anillo",0,N(Stock!$D59)))</f>
        <v>0</v>
      </c>
      <c r="G56" s="69" t="n">
        <f aca="false">IF(Costos!$A73="","",N(Stock!$F59))</f>
        <v>0</v>
      </c>
      <c r="H56" s="69" t="n">
        <f aca="false">IF(Costos!$A73="","",N(Stock!$G59))</f>
        <v>0</v>
      </c>
      <c r="I56" s="42"/>
      <c r="J56" s="42"/>
      <c r="K56" s="76" t="n">
        <f aca="false">IF(Costos!$A73="","",N(Stock!$J59))</f>
        <v>1</v>
      </c>
    </row>
    <row r="57" customFormat="false" ht="15" hidden="false" customHeight="true" outlineLevel="0" collapsed="false">
      <c r="A57" s="68" t="str">
        <f aca="false">IF(Costos!$A74="","",Costos!$A74)</f>
        <v>Anillo Malvina Plateado</v>
      </c>
      <c r="B57" s="68" t="str">
        <f aca="false">IF(Costos!$A74="","",Costos!$B74&amp;"")</f>
        <v>Acero inoxidable</v>
      </c>
      <c r="C57" s="68" t="str">
        <f aca="false">IF(Costos!$A74="","",Costos!$C74&amp;"")</f>
        <v>Anillo</v>
      </c>
      <c r="D57" s="75" t="n">
        <f aca="false">IF(Costos!$A74="","",N(Costos!$K74))</f>
        <v>13000</v>
      </c>
      <c r="E57" s="69" t="n">
        <f aca="false">IF(Costos!$A74="","",N(Stock!$H60))</f>
        <v>1</v>
      </c>
      <c r="F57" s="69" t="n">
        <f aca="false">IF(Costos!$A74="","",N(Stock!$E60)+IF(LEFT(Stock!$C60,6)="Anillo",0,N(Stock!$D60)))</f>
        <v>0</v>
      </c>
      <c r="G57" s="69" t="n">
        <f aca="false">IF(Costos!$A74="","",N(Stock!$F60))</f>
        <v>0</v>
      </c>
      <c r="H57" s="69" t="n">
        <f aca="false">IF(Costos!$A74="","",N(Stock!$G60))</f>
        <v>0</v>
      </c>
      <c r="I57" s="42"/>
      <c r="J57" s="42"/>
      <c r="K57" s="76" t="n">
        <f aca="false">IF(Costos!$A74="","",N(Stock!$J60))</f>
        <v>1</v>
      </c>
    </row>
    <row r="58" customFormat="false" ht="15" hidden="false" customHeight="true" outlineLevel="0" collapsed="false">
      <c r="A58" s="68" t="str">
        <f aca="false">IF(Costos!$A75="","",Costos!$A75)</f>
        <v>Anillo Luna</v>
      </c>
      <c r="B58" s="68" t="str">
        <f aca="false">IF(Costos!$A75="","",Costos!$B75&amp;"")</f>
        <v>Acero inoxidable</v>
      </c>
      <c r="C58" s="68" t="str">
        <f aca="false">IF(Costos!$A75="","",Costos!$C75&amp;"")</f>
        <v>Anillo</v>
      </c>
      <c r="D58" s="75" t="n">
        <f aca="false">IF(Costos!$A75="","",N(Costos!$K75))</f>
        <v>12500</v>
      </c>
      <c r="E58" s="69" t="n">
        <f aca="false">IF(Costos!$A75="","",N(Stock!$H61))</f>
        <v>2</v>
      </c>
      <c r="F58" s="69" t="n">
        <f aca="false">IF(Costos!$A75="","",N(Stock!$E61)+IF(LEFT(Stock!$C61,6)="Anillo",0,N(Stock!$D61)))</f>
        <v>0</v>
      </c>
      <c r="G58" s="69" t="n">
        <f aca="false">IF(Costos!$A75="","",N(Stock!$F61))</f>
        <v>0</v>
      </c>
      <c r="H58" s="69" t="n">
        <f aca="false">IF(Costos!$A75="","",N(Stock!$G61))</f>
        <v>0</v>
      </c>
      <c r="I58" s="42"/>
      <c r="J58" s="42"/>
      <c r="K58" s="76" t="n">
        <f aca="false">IF(Costos!$A75="","",N(Stock!$J61))</f>
        <v>0</v>
      </c>
    </row>
    <row r="59" customFormat="false" ht="15" hidden="false" customHeight="true" outlineLevel="0" collapsed="false">
      <c r="A59" s="68" t="str">
        <f aca="false">IF(Costos!$A76="","",Costos!$A76)</f>
        <v>Collar Girasol</v>
      </c>
      <c r="B59" s="68" t="str">
        <f aca="false">IF(Costos!$A76="","",Costos!$B76&amp;"")</f>
        <v>Acero dorado</v>
      </c>
      <c r="C59" s="68" t="str">
        <f aca="false">IF(Costos!$A76="","",Costos!$C76&amp;"")</f>
        <v>Collar</v>
      </c>
      <c r="D59" s="75" t="n">
        <f aca="false">IF(Costos!$A76="","",N(Costos!$K76))</f>
        <v>24000</v>
      </c>
      <c r="E59" s="69" t="n">
        <f aca="false">IF(Costos!$A76="","",N(Stock!$H62))</f>
        <v>1</v>
      </c>
      <c r="F59" s="69" t="n">
        <f aca="false">IF(Costos!$A76="","",N(Stock!$E62)+IF(LEFT(Stock!$C62,6)="Anillo",0,N(Stock!$D62)))</f>
        <v>1</v>
      </c>
      <c r="G59" s="69" t="n">
        <f aca="false">IF(Costos!$A76="","",N(Stock!$F62))</f>
        <v>0</v>
      </c>
      <c r="H59" s="69" t="n">
        <f aca="false">IF(Costos!$A76="","",N(Stock!$G62))</f>
        <v>0</v>
      </c>
      <c r="I59" s="42"/>
      <c r="J59" s="42"/>
      <c r="K59" s="76" t="n">
        <f aca="false">IF(Costos!$A76="","",N(Stock!$J62))</f>
        <v>0</v>
      </c>
    </row>
    <row r="60" customFormat="false" ht="15" hidden="false" customHeight="true" outlineLevel="0" collapsed="false">
      <c r="A60" s="68" t="str">
        <f aca="false">IF(Costos!$A77="","",Costos!$A77)</f>
        <v>Collar Sardina</v>
      </c>
      <c r="B60" s="68" t="str">
        <f aca="false">IF(Costos!$A77="","",Costos!$B77&amp;"")</f>
        <v>Acero dorado</v>
      </c>
      <c r="C60" s="68" t="str">
        <f aca="false">IF(Costos!$A77="","",Costos!$C77&amp;"")</f>
        <v>Collar</v>
      </c>
      <c r="D60" s="75" t="n">
        <f aca="false">IF(Costos!$A77="","",N(Costos!$K77))</f>
        <v>24000</v>
      </c>
      <c r="E60" s="69" t="n">
        <f aca="false">IF(Costos!$A77="","",N(Stock!$H63))</f>
        <v>1</v>
      </c>
      <c r="F60" s="69" t="n">
        <f aca="false">IF(Costos!$A77="","",N(Stock!$E63)+IF(LEFT(Stock!$C63,6)="Anillo",0,N(Stock!$D63)))</f>
        <v>1</v>
      </c>
      <c r="G60" s="69" t="n">
        <f aca="false">IF(Costos!$A77="","",N(Stock!$F63))</f>
        <v>0</v>
      </c>
      <c r="H60" s="69" t="n">
        <f aca="false">IF(Costos!$A77="","",N(Stock!$G63))</f>
        <v>0</v>
      </c>
      <c r="I60" s="42"/>
      <c r="J60" s="42"/>
      <c r="K60" s="76" t="n">
        <f aca="false">IF(Costos!$A77="","",N(Stock!$J63))</f>
        <v>0</v>
      </c>
    </row>
    <row r="61" customFormat="false" ht="15" hidden="false" customHeight="true" outlineLevel="0" collapsed="false">
      <c r="A61" s="68" t="str">
        <f aca="false">IF(Costos!$A78="","",Costos!$A78)</f>
        <v>Aros Atlas</v>
      </c>
      <c r="B61" s="68" t="str">
        <f aca="false">IF(Costos!$A78="","",Costos!$B78&amp;"")</f>
        <v>Acero dorado</v>
      </c>
      <c r="C61" s="68" t="str">
        <f aca="false">IF(Costos!$A78="","",Costos!$C78&amp;"")</f>
        <v>Aros</v>
      </c>
      <c r="D61" s="75" t="n">
        <f aca="false">IF(Costos!$A78="","",N(Costos!$K78))</f>
        <v>16500</v>
      </c>
      <c r="E61" s="69" t="n">
        <f aca="false">IF(Costos!$A78="","",N(Stock!$H64))</f>
        <v>2</v>
      </c>
      <c r="F61" s="69" t="n">
        <f aca="false">IF(Costos!$A78="","",N(Stock!$E64)+IF(LEFT(Stock!$C64,6)="Anillo",0,N(Stock!$D64)))</f>
        <v>2</v>
      </c>
      <c r="G61" s="69" t="n">
        <f aca="false">IF(Costos!$A78="","",N(Stock!$F64))</f>
        <v>0</v>
      </c>
      <c r="H61" s="69" t="n">
        <f aca="false">IF(Costos!$A78="","",N(Stock!$G64))</f>
        <v>0</v>
      </c>
      <c r="I61" s="42"/>
      <c r="J61" s="42"/>
      <c r="K61" s="76" t="n">
        <f aca="false">IF(Costos!$A78="","",N(Stock!$J64))</f>
        <v>1</v>
      </c>
    </row>
    <row r="62" customFormat="false" ht="15" hidden="false" customHeight="true" outlineLevel="0" collapsed="false">
      <c r="A62" s="68" t="str">
        <f aca="false">IF(Costos!$A79="","",Costos!$A79)</f>
        <v>Aros Rosella Dorado</v>
      </c>
      <c r="B62" s="68" t="str">
        <f aca="false">IF(Costos!$A79="","",Costos!$B79&amp;"")</f>
        <v>Acero dorado</v>
      </c>
      <c r="C62" s="68" t="str">
        <f aca="false">IF(Costos!$A79="","",Costos!$C79&amp;"")</f>
        <v>Aros</v>
      </c>
      <c r="D62" s="75" t="n">
        <f aca="false">IF(Costos!$A79="","",N(Costos!$K79))</f>
        <v>15000</v>
      </c>
      <c r="E62" s="69" t="n">
        <f aca="false">IF(Costos!$A79="","",N(Stock!$H65))</f>
        <v>2</v>
      </c>
      <c r="F62" s="69" t="n">
        <f aca="false">IF(Costos!$A79="","",N(Stock!$E65)+IF(LEFT(Stock!$C65,6)="Anillo",0,N(Stock!$D65)))</f>
        <v>2</v>
      </c>
      <c r="G62" s="69" t="n">
        <f aca="false">IF(Costos!$A79="","",N(Stock!$F65))</f>
        <v>0</v>
      </c>
      <c r="H62" s="69" t="n">
        <f aca="false">IF(Costos!$A79="","",N(Stock!$G65))</f>
        <v>0</v>
      </c>
      <c r="I62" s="42"/>
      <c r="J62" s="42"/>
      <c r="K62" s="76" t="n">
        <f aca="false">IF(Costos!$A79="","",N(Stock!$J65))</f>
        <v>1</v>
      </c>
    </row>
    <row r="63" customFormat="false" ht="15" hidden="false" customHeight="true" outlineLevel="0" collapsed="false">
      <c r="A63" s="68" t="str">
        <f aca="false">IF(Costos!$A80="","",Costos!$A80)</f>
        <v>Aros Nara</v>
      </c>
      <c r="B63" s="68" t="str">
        <f aca="false">IF(Costos!$A80="","",Costos!$B80&amp;"")</f>
        <v>Acero dorado</v>
      </c>
      <c r="C63" s="68" t="str">
        <f aca="false">IF(Costos!$A80="","",Costos!$C80&amp;"")</f>
        <v>Aros</v>
      </c>
      <c r="D63" s="75" t="n">
        <f aca="false">IF(Costos!$A80="","",N(Costos!$K80))</f>
        <v>15000</v>
      </c>
      <c r="E63" s="69" t="n">
        <f aca="false">IF(Costos!$A80="","",N(Stock!$H66))</f>
        <v>0</v>
      </c>
      <c r="F63" s="69" t="n">
        <f aca="false">IF(Costos!$A80="","",N(Stock!$E66)+IF(LEFT(Stock!$C66,6)="Anillo",0,N(Stock!$D66)))</f>
        <v>0</v>
      </c>
      <c r="G63" s="69" t="n">
        <f aca="false">IF(Costos!$A80="","",N(Stock!$F66))</f>
        <v>0</v>
      </c>
      <c r="H63" s="69" t="n">
        <f aca="false">IF(Costos!$A80="","",N(Stock!$G66))</f>
        <v>0</v>
      </c>
      <c r="I63" s="42"/>
      <c r="J63" s="42"/>
      <c r="K63" s="76" t="n">
        <f aca="false">IF(Costos!$A80="","",N(Stock!$J66))</f>
        <v>1</v>
      </c>
    </row>
    <row r="64" customFormat="false" ht="15" hidden="false" customHeight="true" outlineLevel="0" collapsed="false">
      <c r="A64" s="68" t="str">
        <f aca="false">IF(Costos!$A81="","",Costos!$A81)</f>
        <v>Aros Oliva</v>
      </c>
      <c r="B64" s="68" t="str">
        <f aca="false">IF(Costos!$A81="","",Costos!$B81&amp;"")</f>
        <v>Acero dorado</v>
      </c>
      <c r="C64" s="68" t="str">
        <f aca="false">IF(Costos!$A81="","",Costos!$C81&amp;"")</f>
        <v>Aros</v>
      </c>
      <c r="D64" s="75" t="n">
        <f aca="false">IF(Costos!$A81="","",N(Costos!$K81))</f>
        <v>15000</v>
      </c>
      <c r="E64" s="69" t="n">
        <f aca="false">IF(Costos!$A81="","",N(Stock!$H67))</f>
        <v>1</v>
      </c>
      <c r="F64" s="69" t="n">
        <f aca="false">IF(Costos!$A81="","",N(Stock!$E67)+IF(LEFT(Stock!$C67,6)="Anillo",0,N(Stock!$D67)))</f>
        <v>1</v>
      </c>
      <c r="G64" s="69" t="n">
        <f aca="false">IF(Costos!$A81="","",N(Stock!$F67))</f>
        <v>0</v>
      </c>
      <c r="H64" s="69" t="n">
        <f aca="false">IF(Costos!$A81="","",N(Stock!$G67))</f>
        <v>0</v>
      </c>
      <c r="I64" s="42"/>
      <c r="J64" s="42"/>
      <c r="K64" s="76" t="n">
        <f aca="false">IF(Costos!$A81="","",N(Stock!$J67))</f>
        <v>0</v>
      </c>
    </row>
    <row r="65" customFormat="false" ht="15" hidden="false" customHeight="true" outlineLevel="0" collapsed="false">
      <c r="A65" s="68" t="str">
        <f aca="false">IF(Costos!$A82="","",Costos!$A82)</f>
        <v>Collar Amour</v>
      </c>
      <c r="B65" s="68" t="str">
        <f aca="false">IF(Costos!$A82="","",Costos!$B82&amp;"")</f>
        <v>Acero inoxidable</v>
      </c>
      <c r="C65" s="68" t="str">
        <f aca="false">IF(Costos!$A82="","",Costos!$C82&amp;"")</f>
        <v>Collar</v>
      </c>
      <c r="D65" s="75" t="n">
        <f aca="false">IF(Costos!$A82="","",N(Costos!$K82))</f>
        <v>15000</v>
      </c>
      <c r="E65" s="69" t="n">
        <f aca="false">IF(Costos!$A82="","",N(Stock!$H68))</f>
        <v>0</v>
      </c>
      <c r="F65" s="69" t="n">
        <f aca="false">IF(Costos!$A82="","",N(Stock!$E68)+IF(LEFT(Stock!$C68,6)="Anillo",0,N(Stock!$D68)))</f>
        <v>0</v>
      </c>
      <c r="G65" s="69" t="n">
        <f aca="false">IF(Costos!$A82="","",N(Stock!$F68))</f>
        <v>0</v>
      </c>
      <c r="H65" s="69" t="n">
        <f aca="false">IF(Costos!$A82="","",N(Stock!$G68))</f>
        <v>0</v>
      </c>
      <c r="I65" s="42"/>
      <c r="J65" s="42"/>
      <c r="K65" s="76" t="n">
        <f aca="false">IF(Costos!$A82="","",N(Stock!$J68))</f>
        <v>2</v>
      </c>
    </row>
    <row r="66" customFormat="false" ht="15" hidden="false" customHeight="true" outlineLevel="0" collapsed="false">
      <c r="A66" s="68" t="str">
        <f aca="false">IF(Costos!$A83="","",Costos!$A83)</f>
        <v>Argollitas Classic N°1 D</v>
      </c>
      <c r="B66" s="68" t="str">
        <f aca="false">IF(Costos!$A83="","",Costos!$B83&amp;"")</f>
        <v>Acero dorado</v>
      </c>
      <c r="C66" s="68" t="str">
        <f aca="false">IF(Costos!$A83="","",Costos!$C83&amp;"")</f>
        <v>Aros</v>
      </c>
      <c r="D66" s="75" t="n">
        <f aca="false">IF(Costos!$A83="","",N(Costos!$K83))</f>
        <v>9000</v>
      </c>
      <c r="E66" s="69" t="n">
        <f aca="false">IF(Costos!$A83="","",N(Stock!$H69))</f>
        <v>1</v>
      </c>
      <c r="F66" s="69" t="n">
        <f aca="false">IF(Costos!$A83="","",N(Stock!$E69)+IF(LEFT(Stock!$C69,6)="Anillo",0,N(Stock!$D69)))</f>
        <v>1</v>
      </c>
      <c r="G66" s="69" t="n">
        <f aca="false">IF(Costos!$A83="","",N(Stock!$F69))</f>
        <v>0</v>
      </c>
      <c r="H66" s="69" t="n">
        <f aca="false">IF(Costos!$A83="","",N(Stock!$G69))</f>
        <v>0</v>
      </c>
      <c r="I66" s="42"/>
      <c r="J66" s="42"/>
      <c r="K66" s="76" t="n">
        <f aca="false">IF(Costos!$A83="","",N(Stock!$J69))</f>
        <v>1</v>
      </c>
    </row>
    <row r="67" customFormat="false" ht="15" hidden="false" customHeight="true" outlineLevel="0" collapsed="false">
      <c r="A67" s="68" t="str">
        <f aca="false">IF(Costos!$A84="","",Costos!$A84)</f>
        <v>Argollitas Classic N°2 D</v>
      </c>
      <c r="B67" s="68" t="str">
        <f aca="false">IF(Costos!$A84="","",Costos!$B84&amp;"")</f>
        <v>Acero dorado</v>
      </c>
      <c r="C67" s="68" t="str">
        <f aca="false">IF(Costos!$A84="","",Costos!$C84&amp;"")</f>
        <v>Aros</v>
      </c>
      <c r="D67" s="75" t="n">
        <f aca="false">IF(Costos!$A84="","",N(Costos!$K84))</f>
        <v>9000</v>
      </c>
      <c r="E67" s="69" t="n">
        <f aca="false">IF(Costos!$A84="","",N(Stock!$H70))</f>
        <v>2</v>
      </c>
      <c r="F67" s="69" t="n">
        <f aca="false">IF(Costos!$A84="","",N(Stock!$E70)+IF(LEFT(Stock!$C70,6)="Anillo",0,N(Stock!$D70)))</f>
        <v>2</v>
      </c>
      <c r="G67" s="69" t="n">
        <f aca="false">IF(Costos!$A84="","",N(Stock!$F70))</f>
        <v>0</v>
      </c>
      <c r="H67" s="69" t="n">
        <f aca="false">IF(Costos!$A84="","",N(Stock!$G70))</f>
        <v>0</v>
      </c>
      <c r="I67" s="42"/>
      <c r="J67" s="42"/>
      <c r="K67" s="76" t="n">
        <f aca="false">IF(Costos!$A84="","",N(Stock!$J70))</f>
        <v>0</v>
      </c>
    </row>
    <row r="68" customFormat="false" ht="15" hidden="false" customHeight="true" outlineLevel="0" collapsed="false">
      <c r="A68" s="68" t="str">
        <f aca="false">IF(Costos!$A85="","",Costos!$A85)</f>
        <v/>
      </c>
      <c r="B68" s="68" t="str">
        <f aca="false">IF(Costos!$A85="","",Costos!$B85&amp;"")</f>
        <v/>
      </c>
      <c r="C68" s="68" t="str">
        <f aca="false">IF(Costos!$A85="","",Costos!$C85&amp;"")</f>
        <v/>
      </c>
      <c r="D68" s="75" t="str">
        <f aca="false">IF(Costos!$A85="","",N(Costos!$K85))</f>
        <v/>
      </c>
      <c r="E68" s="69" t="str">
        <f aca="false">IF(Costos!$A85="","",N(Stock!$H71))</f>
        <v/>
      </c>
      <c r="F68" s="69" t="str">
        <f aca="false">IF(Costos!$A85="","",N(Stock!$E71)+IF(LEFT(Stock!$C71,6)="Anillo",0,N(Stock!$D71)))</f>
        <v/>
      </c>
      <c r="G68" s="69" t="str">
        <f aca="false">IF(Costos!$A85="","",N(Stock!$F71))</f>
        <v/>
      </c>
      <c r="H68" s="69" t="str">
        <f aca="false">IF(Costos!$A85="","",N(Stock!$G71))</f>
        <v/>
      </c>
      <c r="I68" s="42"/>
      <c r="J68" s="42"/>
      <c r="K68" s="76" t="str">
        <f aca="false">IF(Costos!$A85="","",N(Stock!$J71))</f>
        <v/>
      </c>
    </row>
    <row r="69" customFormat="false" ht="15" hidden="false" customHeight="true" outlineLevel="0" collapsed="false">
      <c r="A69" s="68" t="str">
        <f aca="false">IF(Costos!$A86="","",Costos!$A86)</f>
        <v/>
      </c>
      <c r="B69" s="68" t="str">
        <f aca="false">IF(Costos!$A86="","",Costos!$B86&amp;"")</f>
        <v/>
      </c>
      <c r="C69" s="68" t="str">
        <f aca="false">IF(Costos!$A86="","",Costos!$C86&amp;"")</f>
        <v/>
      </c>
      <c r="D69" s="75" t="str">
        <f aca="false">IF(Costos!$A86="","",N(Costos!$K86))</f>
        <v/>
      </c>
      <c r="E69" s="69" t="str">
        <f aca="false">IF(Costos!$A86="","",N(Stock!$H72))</f>
        <v/>
      </c>
      <c r="F69" s="69" t="str">
        <f aca="false">IF(Costos!$A86="","",N(Stock!$E72)+IF(LEFT(Stock!$C72,6)="Anillo",0,N(Stock!$D72)))</f>
        <v/>
      </c>
      <c r="G69" s="69" t="str">
        <f aca="false">IF(Costos!$A86="","",N(Stock!$F72))</f>
        <v/>
      </c>
      <c r="H69" s="69" t="str">
        <f aca="false">IF(Costos!$A86="","",N(Stock!$G72))</f>
        <v/>
      </c>
      <c r="I69" s="42"/>
      <c r="J69" s="42"/>
      <c r="K69" s="76" t="str">
        <f aca="false">IF(Costos!$A86="","",N(Stock!$J72))</f>
        <v/>
      </c>
    </row>
    <row r="70" customFormat="false" ht="15" hidden="false" customHeight="true" outlineLevel="0" collapsed="false">
      <c r="A70" s="68" t="str">
        <f aca="false">IF(Costos!$A87="","",Costos!$A87)</f>
        <v/>
      </c>
      <c r="B70" s="68" t="str">
        <f aca="false">IF(Costos!$A87="","",Costos!$B87&amp;"")</f>
        <v/>
      </c>
      <c r="C70" s="68" t="str">
        <f aca="false">IF(Costos!$A87="","",Costos!$C87&amp;"")</f>
        <v/>
      </c>
      <c r="D70" s="75" t="str">
        <f aca="false">IF(Costos!$A87="","",N(Costos!$K87))</f>
        <v/>
      </c>
      <c r="E70" s="69" t="str">
        <f aca="false">IF(Costos!$A87="","",N(Stock!$H73))</f>
        <v/>
      </c>
      <c r="F70" s="69" t="str">
        <f aca="false">IF(Costos!$A87="","",N(Stock!$E73)+IF(LEFT(Stock!$C73,6)="Anillo",0,N(Stock!$D73)))</f>
        <v/>
      </c>
      <c r="G70" s="69" t="str">
        <f aca="false">IF(Costos!$A87="","",N(Stock!$F73))</f>
        <v/>
      </c>
      <c r="H70" s="69" t="str">
        <f aca="false">IF(Costos!$A87="","",N(Stock!$G73))</f>
        <v/>
      </c>
      <c r="I70" s="42"/>
      <c r="J70" s="42"/>
      <c r="K70" s="76" t="str">
        <f aca="false">IF(Costos!$A87="","",N(Stock!$J73))</f>
        <v/>
      </c>
    </row>
    <row r="71" customFormat="false" ht="15" hidden="false" customHeight="true" outlineLevel="0" collapsed="false">
      <c r="A71" s="68" t="str">
        <f aca="false">IF(Costos!$A88="","",Costos!$A88)</f>
        <v>Argollitas Halo N°1 (12 mm)</v>
      </c>
      <c r="B71" s="68" t="str">
        <f aca="false">IF(Costos!$A88="","",Costos!$B88&amp;"")</f>
        <v>Plata 925</v>
      </c>
      <c r="C71" s="68" t="str">
        <f aca="false">IF(Costos!$A88="","",Costos!$C88&amp;"")</f>
        <v>Aros</v>
      </c>
      <c r="D71" s="75" t="n">
        <f aca="false">IF(Costos!$A88="","",N(Costos!$K88))</f>
        <v>25000</v>
      </c>
      <c r="E71" s="69" t="n">
        <f aca="false">IF(Costos!$A88="","",N(Stock!$H74))</f>
        <v>2</v>
      </c>
      <c r="F71" s="69" t="n">
        <f aca="false">IF(Costos!$A88="","",N(Stock!$E74)+IF(LEFT(Stock!$C74,6)="Anillo",0,N(Stock!$D74)))</f>
        <v>2</v>
      </c>
      <c r="G71" s="69" t="n">
        <f aca="false">IF(Costos!$A88="","",N(Stock!$F74))</f>
        <v>0</v>
      </c>
      <c r="H71" s="69" t="n">
        <f aca="false">IF(Costos!$A88="","",N(Stock!$G74))</f>
        <v>0</v>
      </c>
      <c r="I71" s="42"/>
      <c r="J71" s="42"/>
      <c r="K71" s="76" t="n">
        <f aca="false">IF(Costos!$A88="","",N(Stock!$J74))</f>
        <v>0</v>
      </c>
    </row>
    <row r="72" customFormat="false" ht="15" hidden="false" customHeight="true" outlineLevel="0" collapsed="false">
      <c r="A72" s="68" t="str">
        <f aca="false">IF(Costos!$A89="","",Costos!$A89)</f>
        <v>Anillo Vera</v>
      </c>
      <c r="B72" s="68" t="str">
        <f aca="false">IF(Costos!$A89="","",Costos!$B89&amp;"")</f>
        <v>Plata 925</v>
      </c>
      <c r="C72" s="68" t="str">
        <f aca="false">IF(Costos!$A89="","",Costos!$C89&amp;"")</f>
        <v>Anillo</v>
      </c>
      <c r="D72" s="75" t="n">
        <f aca="false">IF(Costos!$A89="","",N(Costos!$K89))</f>
        <v>22500</v>
      </c>
      <c r="E72" s="69" t="n">
        <f aca="false">IF(Costos!$A89="","",N(Stock!$H75))</f>
        <v>2</v>
      </c>
      <c r="F72" s="69" t="n">
        <f aca="false">IF(Costos!$A89="","",N(Stock!$E75)+IF(LEFT(Stock!$C75,6)="Anillo",0,N(Stock!$D75)))</f>
        <v>0</v>
      </c>
      <c r="G72" s="69" t="n">
        <f aca="false">IF(Costos!$A89="","",N(Stock!$F75))</f>
        <v>2</v>
      </c>
      <c r="H72" s="69" t="n">
        <f aca="false">IF(Costos!$A89="","",N(Stock!$G75))</f>
        <v>0</v>
      </c>
      <c r="I72" s="42"/>
      <c r="J72" s="42"/>
      <c r="K72" s="76" t="n">
        <f aca="false">IF(Costos!$A89="","",N(Stock!$J75))</f>
        <v>1</v>
      </c>
    </row>
    <row r="73" customFormat="false" ht="15" hidden="false" customHeight="true" outlineLevel="0" collapsed="false">
      <c r="A73" s="68" t="str">
        <f aca="false">IF(Costos!$A90="","",Costos!$A90)</f>
        <v>Cubic Circulo (5mm)</v>
      </c>
      <c r="B73" s="68" t="str">
        <f aca="false">IF(Costos!$A90="","",Costos!$B90&amp;"")</f>
        <v>Plata 925</v>
      </c>
      <c r="C73" s="68" t="str">
        <f aca="false">IF(Costos!$A90="","",Costos!$C90&amp;"")</f>
        <v>Aros</v>
      </c>
      <c r="D73" s="75" t="n">
        <f aca="false">IF(Costos!$A90="","",N(Costos!$K90))</f>
        <v>17500</v>
      </c>
      <c r="E73" s="69" t="n">
        <f aca="false">IF(Costos!$A90="","",N(Stock!$H76))</f>
        <v>2</v>
      </c>
      <c r="F73" s="69" t="n">
        <f aca="false">IF(Costos!$A90="","",N(Stock!$E76)+IF(LEFT(Stock!$C76,6)="Anillo",0,N(Stock!$D76)))</f>
        <v>2</v>
      </c>
      <c r="G73" s="69" t="n">
        <f aca="false">IF(Costos!$A90="","",N(Stock!$F76))</f>
        <v>0</v>
      </c>
      <c r="H73" s="69" t="n">
        <f aca="false">IF(Costos!$A90="","",N(Stock!$G76))</f>
        <v>0</v>
      </c>
      <c r="I73" s="42"/>
      <c r="J73" s="42"/>
      <c r="K73" s="76" t="n">
        <f aca="false">IF(Costos!$A90="","",N(Stock!$J76))</f>
        <v>0</v>
      </c>
    </row>
    <row r="74" customFormat="false" ht="15" hidden="false" customHeight="true" outlineLevel="0" collapsed="false">
      <c r="A74" s="68" t="str">
        <f aca="false">IF(Costos!$A91="","",Costos!$A91)</f>
        <v>Aritos Perlas (4mm)</v>
      </c>
      <c r="B74" s="68" t="str">
        <f aca="false">IF(Costos!$A91="","",Costos!$B91&amp;"")</f>
        <v>Plata 925</v>
      </c>
      <c r="C74" s="68" t="str">
        <f aca="false">IF(Costos!$A91="","",Costos!$C91&amp;"")</f>
        <v>Aros</v>
      </c>
      <c r="D74" s="75" t="n">
        <f aca="false">IF(Costos!$A91="","",N(Costos!$K91))</f>
        <v>12000</v>
      </c>
      <c r="E74" s="69" t="n">
        <f aca="false">IF(Costos!$A91="","",N(Stock!$H77))</f>
        <v>2</v>
      </c>
      <c r="F74" s="69" t="n">
        <f aca="false">IF(Costos!$A91="","",N(Stock!$E77)+IF(LEFT(Stock!$C77,6)="Anillo",0,N(Stock!$D77)))</f>
        <v>2</v>
      </c>
      <c r="G74" s="69" t="n">
        <f aca="false">IF(Costos!$A91="","",N(Stock!$F77))</f>
        <v>0</v>
      </c>
      <c r="H74" s="69" t="n">
        <f aca="false">IF(Costos!$A91="","",N(Stock!$G77))</f>
        <v>0</v>
      </c>
      <c r="I74" s="42"/>
      <c r="J74" s="42"/>
      <c r="K74" s="76" t="n">
        <f aca="false">IF(Costos!$A91="","",N(Stock!$J77))</f>
        <v>0</v>
      </c>
    </row>
    <row r="75" customFormat="false" ht="15" hidden="false" customHeight="true" outlineLevel="0" collapsed="false">
      <c r="A75" s="68" t="str">
        <f aca="false">IF(Costos!$A92="","",Costos!$A92)</f>
        <v>Argollitas Marco (10mm)</v>
      </c>
      <c r="B75" s="68" t="str">
        <f aca="false">IF(Costos!$A92="","",Costos!$B92&amp;"")</f>
        <v>Plata 925</v>
      </c>
      <c r="C75" s="68" t="str">
        <f aca="false">IF(Costos!$A92="","",Costos!$C92&amp;"")</f>
        <v>Aros</v>
      </c>
      <c r="D75" s="75" t="n">
        <f aca="false">IF(Costos!$A92="","",N(Costos!$K92))</f>
        <v>32000</v>
      </c>
      <c r="E75" s="69" t="n">
        <f aca="false">IF(Costos!$A92="","",N(Stock!$H78))</f>
        <v>0</v>
      </c>
      <c r="F75" s="69" t="n">
        <f aca="false">IF(Costos!$A92="","",N(Stock!$E78)+IF(LEFT(Stock!$C78,6)="Anillo",0,N(Stock!$D78)))</f>
        <v>0</v>
      </c>
      <c r="G75" s="69" t="n">
        <f aca="false">IF(Costos!$A92="","",N(Stock!$F78))</f>
        <v>0</v>
      </c>
      <c r="H75" s="69" t="n">
        <f aca="false">IF(Costos!$A92="","",N(Stock!$G78))</f>
        <v>0</v>
      </c>
      <c r="I75" s="42"/>
      <c r="J75" s="42"/>
      <c r="K75" s="76" t="n">
        <f aca="false">IF(Costos!$A92="","",N(Stock!$J78))</f>
        <v>0</v>
      </c>
    </row>
    <row r="76" customFormat="false" ht="15" hidden="false" customHeight="true" outlineLevel="0" collapsed="false">
      <c r="A76" s="68" t="str">
        <f aca="false">IF(Costos!$A93="","",Costos!$A93)</f>
        <v>Argollitas Espiga (15mm)</v>
      </c>
      <c r="B76" s="68" t="str">
        <f aca="false">IF(Costos!$A93="","",Costos!$B93&amp;"")</f>
        <v>Plata 925</v>
      </c>
      <c r="C76" s="68" t="str">
        <f aca="false">IF(Costos!$A93="","",Costos!$C93&amp;"")</f>
        <v>Aros</v>
      </c>
      <c r="D76" s="75" t="n">
        <f aca="false">IF(Costos!$A93="","",N(Costos!$K93))</f>
        <v>35000</v>
      </c>
      <c r="E76" s="69" t="n">
        <f aca="false">IF(Costos!$A93="","",N(Stock!$H79))</f>
        <v>1</v>
      </c>
      <c r="F76" s="69" t="n">
        <f aca="false">IF(Costos!$A93="","",N(Stock!$E79)+IF(LEFT(Stock!$C79,6)="Anillo",0,N(Stock!$D79)))</f>
        <v>1</v>
      </c>
      <c r="G76" s="69" t="n">
        <f aca="false">IF(Costos!$A93="","",N(Stock!$F79))</f>
        <v>0</v>
      </c>
      <c r="H76" s="69" t="n">
        <f aca="false">IF(Costos!$A93="","",N(Stock!$G79))</f>
        <v>0</v>
      </c>
      <c r="I76" s="42"/>
      <c r="J76" s="42"/>
      <c r="K76" s="76" t="n">
        <f aca="false">IF(Costos!$A93="","",N(Stock!$J79))</f>
        <v>0</v>
      </c>
    </row>
    <row r="77" customFormat="false" ht="15" hidden="false" customHeight="true" outlineLevel="0" collapsed="false">
      <c r="A77" s="68" t="str">
        <f aca="false">IF(Costos!$A94="","",Costos!$A94)</f>
        <v>Aritos Corazón </v>
      </c>
      <c r="B77" s="68" t="str">
        <f aca="false">IF(Costos!$A94="","",Costos!$B94&amp;"")</f>
        <v>Plata 925</v>
      </c>
      <c r="C77" s="68" t="str">
        <f aca="false">IF(Costos!$A94="","",Costos!$C94&amp;"")</f>
        <v>Aros</v>
      </c>
      <c r="D77" s="75" t="n">
        <f aca="false">IF(Costos!$A94="","",N(Costos!$K94))</f>
        <v>14000</v>
      </c>
      <c r="E77" s="69" t="n">
        <f aca="false">IF(Costos!$A94="","",N(Stock!$H80))</f>
        <v>1</v>
      </c>
      <c r="F77" s="69" t="n">
        <f aca="false">IF(Costos!$A94="","",N(Stock!$E80)+IF(LEFT(Stock!$C80,6)="Anillo",0,N(Stock!$D80)))</f>
        <v>1</v>
      </c>
      <c r="G77" s="69" t="n">
        <f aca="false">IF(Costos!$A94="","",N(Stock!$F80))</f>
        <v>0</v>
      </c>
      <c r="H77" s="69" t="n">
        <f aca="false">IF(Costos!$A94="","",N(Stock!$G80))</f>
        <v>0</v>
      </c>
      <c r="I77" s="42"/>
      <c r="J77" s="42"/>
      <c r="K77" s="76" t="n">
        <f aca="false">IF(Costos!$A94="","",N(Stock!$J80))</f>
        <v>0</v>
      </c>
    </row>
    <row r="78" customFormat="false" ht="15" hidden="false" customHeight="true" outlineLevel="0" collapsed="false">
      <c r="A78" s="68" t="str">
        <f aca="false">IF(Costos!$A95="","",Costos!$A95)</f>
        <v>Collar Aimee</v>
      </c>
      <c r="B78" s="68" t="str">
        <f aca="false">IF(Costos!$A95="","",Costos!$B95&amp;"")</f>
        <v>Plata 925</v>
      </c>
      <c r="C78" s="68" t="str">
        <f aca="false">IF(Costos!$A95="","",Costos!$C95&amp;"")</f>
        <v>Collar</v>
      </c>
      <c r="D78" s="75" t="n">
        <f aca="false">IF(Costos!$A95="","",N(Costos!$K95))</f>
        <v>28000</v>
      </c>
      <c r="E78" s="69" t="n">
        <f aca="false">IF(Costos!$A95="","",N(Stock!$H81))</f>
        <v>1</v>
      </c>
      <c r="F78" s="69" t="n">
        <f aca="false">IF(Costos!$A95="","",N(Stock!$E81)+IF(LEFT(Stock!$C81,6)="Anillo",0,N(Stock!$D81)))</f>
        <v>1</v>
      </c>
      <c r="G78" s="69" t="n">
        <f aca="false">IF(Costos!$A95="","",N(Stock!$F81))</f>
        <v>0</v>
      </c>
      <c r="H78" s="69" t="n">
        <f aca="false">IF(Costos!$A95="","",N(Stock!$G81))</f>
        <v>0</v>
      </c>
      <c r="I78" s="42"/>
      <c r="J78" s="42"/>
      <c r="K78" s="76" t="n">
        <f aca="false">IF(Costos!$A95="","",N(Stock!$J81))</f>
        <v>0</v>
      </c>
    </row>
    <row r="79" customFormat="false" ht="15" hidden="false" customHeight="true" outlineLevel="0" collapsed="false">
      <c r="A79" s="68" t="str">
        <f aca="false">IF(Costos!$A96="","",Costos!$A96)</f>
        <v/>
      </c>
      <c r="B79" s="68" t="str">
        <f aca="false">IF(Costos!$A96="","",Costos!$B96&amp;"")</f>
        <v/>
      </c>
      <c r="C79" s="68" t="str">
        <f aca="false">IF(Costos!$A96="","",Costos!$C96&amp;"")</f>
        <v/>
      </c>
      <c r="D79" s="75" t="str">
        <f aca="false">IF(Costos!$A96="","",N(Costos!$K96))</f>
        <v/>
      </c>
      <c r="E79" s="69" t="str">
        <f aca="false">IF(Costos!$A96="","",N(Stock!$H82))</f>
        <v/>
      </c>
      <c r="F79" s="69" t="str">
        <f aca="false">IF(Costos!$A96="","",N(Stock!$E82)+IF(LEFT(Stock!$C82,6)="Anillo",0,N(Stock!$D82)))</f>
        <v/>
      </c>
      <c r="G79" s="69" t="str">
        <f aca="false">IF(Costos!$A96="","",N(Stock!$F82))</f>
        <v/>
      </c>
      <c r="H79" s="69" t="str">
        <f aca="false">IF(Costos!$A96="","",N(Stock!$G82))</f>
        <v/>
      </c>
      <c r="I79" s="42"/>
      <c r="J79" s="42"/>
      <c r="K79" s="76" t="str">
        <f aca="false">IF(Costos!$A96="","",N(Stock!$J82))</f>
        <v/>
      </c>
    </row>
    <row r="80" customFormat="false" ht="15" hidden="false" customHeight="true" outlineLevel="0" collapsed="false">
      <c r="A80" s="68" t="str">
        <f aca="false">IF(Costos!$A97="","",Costos!$A97)</f>
        <v/>
      </c>
      <c r="B80" s="68" t="str">
        <f aca="false">IF(Costos!$A97="","",Costos!$B97&amp;"")</f>
        <v/>
      </c>
      <c r="C80" s="68" t="str">
        <f aca="false">IF(Costos!$A97="","",Costos!$C97&amp;"")</f>
        <v/>
      </c>
      <c r="D80" s="75" t="str">
        <f aca="false">IF(Costos!$A97="","",N(Costos!$K97))</f>
        <v/>
      </c>
      <c r="E80" s="69" t="str">
        <f aca="false">IF(Costos!$A97="","",N(Stock!$H83))</f>
        <v/>
      </c>
      <c r="F80" s="69" t="str">
        <f aca="false">IF(Costos!$A97="","",N(Stock!$E83)+IF(LEFT(Stock!$C83,6)="Anillo",0,N(Stock!$D83)))</f>
        <v/>
      </c>
      <c r="G80" s="69" t="str">
        <f aca="false">IF(Costos!$A97="","",N(Stock!$F83))</f>
        <v/>
      </c>
      <c r="H80" s="69" t="str">
        <f aca="false">IF(Costos!$A97="","",N(Stock!$G83))</f>
        <v/>
      </c>
      <c r="I80" s="42"/>
      <c r="J80" s="42"/>
      <c r="K80" s="76" t="str">
        <f aca="false">IF(Costos!$A97="","",N(Stock!$J83))</f>
        <v/>
      </c>
    </row>
    <row r="81" customFormat="false" ht="15" hidden="false" customHeight="true" outlineLevel="0" collapsed="false">
      <c r="A81" s="68" t="str">
        <f aca="false">IF(Costos!$A98="","",Costos!$A98)</f>
        <v>Collar Delta</v>
      </c>
      <c r="B81" s="68" t="str">
        <f aca="false">IF(Costos!$A98="","",Costos!$B98&amp;"")</f>
        <v>Boho Colection</v>
      </c>
      <c r="C81" s="68" t="str">
        <f aca="false">IF(Costos!$A98="","",Costos!$C98&amp;"")</f>
        <v>Collar</v>
      </c>
      <c r="D81" s="75" t="n">
        <f aca="false">IF(Costos!$A98="","",N(Costos!$K98))</f>
        <v>30000</v>
      </c>
      <c r="E81" s="69" t="n">
        <f aca="false">IF(Costos!$A98="","",N(Stock!$H84))</f>
        <v>1</v>
      </c>
      <c r="F81" s="69" t="n">
        <f aca="false">IF(Costos!$A98="","",N(Stock!$E84)+IF(LEFT(Stock!$C84,6)="Anillo",0,N(Stock!$D84)))</f>
        <v>1</v>
      </c>
      <c r="G81" s="69" t="n">
        <f aca="false">IF(Costos!$A98="","",N(Stock!$F84))</f>
        <v>0</v>
      </c>
      <c r="H81" s="69" t="n">
        <f aca="false">IF(Costos!$A98="","",N(Stock!$G84))</f>
        <v>0</v>
      </c>
      <c r="I81" s="42"/>
      <c r="J81" s="42"/>
      <c r="K81" s="76" t="n">
        <f aca="false">IF(Costos!$A98="","",N(Stock!$J84))</f>
        <v>0</v>
      </c>
    </row>
    <row r="82" customFormat="false" ht="15" hidden="false" customHeight="true" outlineLevel="0" collapsed="false">
      <c r="A82" s="68" t="str">
        <f aca="false">IF(Costos!$A99="","",Costos!$A99)</f>
        <v>Collar Bruna</v>
      </c>
      <c r="B82" s="68" t="str">
        <f aca="false">IF(Costos!$A99="","",Costos!$B99&amp;"")</f>
        <v>Boho Colection</v>
      </c>
      <c r="C82" s="68" t="str">
        <f aca="false">IF(Costos!$A99="","",Costos!$C99&amp;"")</f>
        <v>Collar</v>
      </c>
      <c r="D82" s="75" t="n">
        <f aca="false">IF(Costos!$A99="","",N(Costos!$K99))</f>
        <v>18000</v>
      </c>
      <c r="E82" s="69" t="n">
        <f aca="false">IF(Costos!$A99="","",N(Stock!$H85))</f>
        <v>1</v>
      </c>
      <c r="F82" s="69" t="n">
        <f aca="false">IF(Costos!$A99="","",N(Stock!$E85)+IF(LEFT(Stock!$C85,6)="Anillo",0,N(Stock!$D85)))</f>
        <v>1</v>
      </c>
      <c r="G82" s="69" t="n">
        <f aca="false">IF(Costos!$A99="","",N(Stock!$F85))</f>
        <v>0</v>
      </c>
      <c r="H82" s="69" t="n">
        <f aca="false">IF(Costos!$A99="","",N(Stock!$G85))</f>
        <v>0</v>
      </c>
      <c r="I82" s="42"/>
      <c r="J82" s="42"/>
      <c r="K82" s="76" t="n">
        <f aca="false">IF(Costos!$A99="","",N(Stock!$J85))</f>
        <v>0</v>
      </c>
    </row>
    <row r="83" customFormat="false" ht="15" hidden="false" customHeight="true" outlineLevel="0" collapsed="false">
      <c r="A83" s="68" t="str">
        <f aca="false">IF(Costos!$A100="","",Costos!$A100)</f>
        <v>Collar Nova </v>
      </c>
      <c r="B83" s="68" t="str">
        <f aca="false">IF(Costos!$A100="","",Costos!$B100&amp;"")</f>
        <v>Boho Colection</v>
      </c>
      <c r="C83" s="68" t="str">
        <f aca="false">IF(Costos!$A100="","",Costos!$C100&amp;"")</f>
        <v>Collar</v>
      </c>
      <c r="D83" s="75" t="n">
        <f aca="false">IF(Costos!$A100="","",N(Costos!$K100))</f>
        <v>28000</v>
      </c>
      <c r="E83" s="69" t="n">
        <f aca="false">IF(Costos!$A100="","",N(Stock!$H86))</f>
        <v>1</v>
      </c>
      <c r="F83" s="69" t="n">
        <f aca="false">IF(Costos!$A100="","",N(Stock!$E86)+IF(LEFT(Stock!$C86,6)="Anillo",0,N(Stock!$D86)))</f>
        <v>1</v>
      </c>
      <c r="G83" s="69" t="n">
        <f aca="false">IF(Costos!$A100="","",N(Stock!$F86))</f>
        <v>0</v>
      </c>
      <c r="H83" s="69" t="n">
        <f aca="false">IF(Costos!$A100="","",N(Stock!$G86))</f>
        <v>0</v>
      </c>
      <c r="I83" s="42"/>
      <c r="J83" s="42"/>
      <c r="K83" s="76" t="n">
        <f aca="false">IF(Costos!$A100="","",N(Stock!$J86))</f>
        <v>0</v>
      </c>
    </row>
    <row r="84" customFormat="false" ht="15" hidden="false" customHeight="true" outlineLevel="0" collapsed="false">
      <c r="A84" s="68" t="str">
        <f aca="false">IF(Costos!$A101="","",Costos!$A101)</f>
        <v>Collar Luna</v>
      </c>
      <c r="B84" s="68" t="str">
        <f aca="false">IF(Costos!$A101="","",Costos!$B101&amp;"")</f>
        <v>Boho Colection</v>
      </c>
      <c r="C84" s="68" t="str">
        <f aca="false">IF(Costos!$A101="","",Costos!$C101&amp;"")</f>
        <v>Collar</v>
      </c>
      <c r="D84" s="75" t="n">
        <f aca="false">IF(Costos!$A101="","",N(Costos!$K101))</f>
        <v>32500</v>
      </c>
      <c r="E84" s="69" t="n">
        <f aca="false">IF(Costos!$A101="","",N(Stock!$H87))</f>
        <v>1</v>
      </c>
      <c r="F84" s="69" t="n">
        <f aca="false">IF(Costos!$A101="","",N(Stock!$E87)+IF(LEFT(Stock!$C87,6)="Anillo",0,N(Stock!$D87)))</f>
        <v>1</v>
      </c>
      <c r="G84" s="69" t="n">
        <f aca="false">IF(Costos!$A101="","",N(Stock!$F87))</f>
        <v>0</v>
      </c>
      <c r="H84" s="69" t="n">
        <f aca="false">IF(Costos!$A101="","",N(Stock!$G87))</f>
        <v>0</v>
      </c>
      <c r="I84" s="42"/>
      <c r="J84" s="42"/>
      <c r="K84" s="76" t="n">
        <f aca="false">IF(Costos!$A101="","",N(Stock!$J87))</f>
        <v>0</v>
      </c>
    </row>
    <row r="85" customFormat="false" ht="15" hidden="false" customHeight="true" outlineLevel="0" collapsed="false">
      <c r="A85" s="68" t="str">
        <f aca="false">IF(Costos!$A102="","",Costos!$A102)</f>
        <v>Collar Ambar</v>
      </c>
      <c r="B85" s="68" t="str">
        <f aca="false">IF(Costos!$A102="","",Costos!$B102&amp;"")</f>
        <v>Boho Colection</v>
      </c>
      <c r="C85" s="68" t="str">
        <f aca="false">IF(Costos!$A102="","",Costos!$C102&amp;"")</f>
        <v>Collar</v>
      </c>
      <c r="D85" s="75" t="n">
        <f aca="false">IF(Costos!$A102="","",N(Costos!$K102))</f>
        <v>26500</v>
      </c>
      <c r="E85" s="69" t="n">
        <f aca="false">IF(Costos!$A102="","",N(Stock!$H88))</f>
        <v>1</v>
      </c>
      <c r="F85" s="69" t="n">
        <f aca="false">IF(Costos!$A102="","",N(Stock!$E88)+IF(LEFT(Stock!$C88,6)="Anillo",0,N(Stock!$D88)))</f>
        <v>1</v>
      </c>
      <c r="G85" s="69" t="n">
        <f aca="false">IF(Costos!$A102="","",N(Stock!$F88))</f>
        <v>0</v>
      </c>
      <c r="H85" s="69" t="n">
        <f aca="false">IF(Costos!$A102="","",N(Stock!$G88))</f>
        <v>0</v>
      </c>
      <c r="I85" s="42"/>
      <c r="J85" s="42"/>
      <c r="K85" s="76" t="n">
        <f aca="false">IF(Costos!$A102="","",N(Stock!$J88))</f>
        <v>0</v>
      </c>
    </row>
    <row r="86" customFormat="false" ht="15" hidden="false" customHeight="true" outlineLevel="0" collapsed="false">
      <c r="A86" s="68" t="str">
        <f aca="false">IF(Costos!$A103="","",Costos!$A103)</f>
        <v>Pulsera Bruna </v>
      </c>
      <c r="B86" s="68" t="str">
        <f aca="false">IF(Costos!$A103="","",Costos!$B103&amp;"")</f>
        <v>Boho Colection</v>
      </c>
      <c r="C86" s="68" t="str">
        <f aca="false">IF(Costos!$A103="","",Costos!$C103&amp;"")</f>
        <v>Pulsera</v>
      </c>
      <c r="D86" s="75" t="n">
        <f aca="false">IF(Costos!$A103="","",N(Costos!$K103))</f>
        <v>9000</v>
      </c>
      <c r="E86" s="69" t="n">
        <f aca="false">IF(Costos!$A103="","",N(Stock!$H89))</f>
        <v>4</v>
      </c>
      <c r="F86" s="69" t="n">
        <f aca="false">IF(Costos!$A103="","",N(Stock!$E89)+IF(LEFT(Stock!$C89,6)="Anillo",0,N(Stock!$D89)))</f>
        <v>4</v>
      </c>
      <c r="G86" s="69" t="n">
        <f aca="false">IF(Costos!$A103="","",N(Stock!$F89))</f>
        <v>0</v>
      </c>
      <c r="H86" s="69" t="n">
        <f aca="false">IF(Costos!$A103="","",N(Stock!$G89))</f>
        <v>0</v>
      </c>
      <c r="I86" s="42"/>
      <c r="J86" s="42"/>
      <c r="K86" s="76" t="n">
        <f aca="false">IF(Costos!$A103="","",N(Stock!$J89))</f>
        <v>0</v>
      </c>
    </row>
    <row r="87" customFormat="false" ht="15" hidden="false" customHeight="true" outlineLevel="0" collapsed="false">
      <c r="A87" s="68" t="str">
        <f aca="false">IF(Costos!$A104="","",Costos!$A104)</f>
        <v>Collar Nina</v>
      </c>
      <c r="B87" s="68" t="str">
        <f aca="false">IF(Costos!$A104="","",Costos!$B104&amp;"")</f>
        <v>Boho Colection</v>
      </c>
      <c r="C87" s="68" t="str">
        <f aca="false">IF(Costos!$A104="","",Costos!$C104&amp;"")</f>
        <v>Collar</v>
      </c>
      <c r="D87" s="75" t="n">
        <f aca="false">IF(Costos!$A104="","",N(Costos!$K104))</f>
        <v>16000</v>
      </c>
      <c r="E87" s="69" t="n">
        <f aca="false">IF(Costos!$A104="","",N(Stock!$H90))</f>
        <v>1</v>
      </c>
      <c r="F87" s="69" t="n">
        <f aca="false">IF(Costos!$A104="","",N(Stock!$E90)+IF(LEFT(Stock!$C90,6)="Anillo",0,N(Stock!$D90)))</f>
        <v>1</v>
      </c>
      <c r="G87" s="69" t="n">
        <f aca="false">IF(Costos!$A104="","",N(Stock!$F90))</f>
        <v>0</v>
      </c>
      <c r="H87" s="69" t="n">
        <f aca="false">IF(Costos!$A104="","",N(Stock!$G90))</f>
        <v>0</v>
      </c>
      <c r="I87" s="42"/>
      <c r="J87" s="42"/>
      <c r="K87" s="76" t="n">
        <f aca="false">IF(Costos!$A104="","",N(Stock!$J90))</f>
        <v>0</v>
      </c>
    </row>
    <row r="88" customFormat="false" ht="15" hidden="false" customHeight="true" outlineLevel="0" collapsed="false">
      <c r="A88" s="68" t="str">
        <f aca="false">IF(Costos!$A105="","",Costos!$A105)</f>
        <v>Collar Duna </v>
      </c>
      <c r="B88" s="68" t="str">
        <f aca="false">IF(Costos!$A105="","",Costos!$B105&amp;"")</f>
        <v>Boho Colection</v>
      </c>
      <c r="C88" s="68" t="str">
        <f aca="false">IF(Costos!$A105="","",Costos!$C105&amp;"")</f>
        <v>Collar</v>
      </c>
      <c r="D88" s="75" t="n">
        <f aca="false">IF(Costos!$A105="","",N(Costos!$K105))</f>
        <v>18500</v>
      </c>
      <c r="E88" s="69" t="n">
        <f aca="false">IF(Costos!$A105="","",N(Stock!$H91))</f>
        <v>1</v>
      </c>
      <c r="F88" s="69" t="n">
        <f aca="false">IF(Costos!$A105="","",N(Stock!$E91)+IF(LEFT(Stock!$C91,6)="Anillo",0,N(Stock!$D91)))</f>
        <v>1</v>
      </c>
      <c r="G88" s="69" t="n">
        <f aca="false">IF(Costos!$A105="","",N(Stock!$F91))</f>
        <v>0</v>
      </c>
      <c r="H88" s="69" t="n">
        <f aca="false">IF(Costos!$A105="","",N(Stock!$G91))</f>
        <v>0</v>
      </c>
      <c r="I88" s="42"/>
      <c r="J88" s="42"/>
      <c r="K88" s="76" t="n">
        <f aca="false">IF(Costos!$A105="","",N(Stock!$J91))</f>
        <v>0</v>
      </c>
    </row>
    <row r="89" customFormat="false" ht="15" hidden="false" customHeight="true" outlineLevel="0" collapsed="false">
      <c r="A89" s="68" t="str">
        <f aca="false">IF(Costos!$A106="","",Costos!$A106)</f>
        <v>Collar Pampa</v>
      </c>
      <c r="B89" s="68" t="str">
        <f aca="false">IF(Costos!$A106="","",Costos!$B106&amp;"")</f>
        <v>Boho Colection</v>
      </c>
      <c r="C89" s="68" t="str">
        <f aca="false">IF(Costos!$A106="","",Costos!$C106&amp;"")</f>
        <v>Collar</v>
      </c>
      <c r="D89" s="75" t="n">
        <f aca="false">IF(Costos!$A106="","",N(Costos!$K106))</f>
        <v>28000</v>
      </c>
      <c r="E89" s="69" t="n">
        <f aca="false">IF(Costos!$A106="","",N(Stock!$H92))</f>
        <v>1</v>
      </c>
      <c r="F89" s="69" t="n">
        <f aca="false">IF(Costos!$A106="","",N(Stock!$E92)+IF(LEFT(Stock!$C92,6)="Anillo",0,N(Stock!$D92)))</f>
        <v>1</v>
      </c>
      <c r="G89" s="69" t="n">
        <f aca="false">IF(Costos!$A106="","",N(Stock!$F92))</f>
        <v>0</v>
      </c>
      <c r="H89" s="69" t="n">
        <f aca="false">IF(Costos!$A106="","",N(Stock!$G92))</f>
        <v>0</v>
      </c>
      <c r="I89" s="42"/>
      <c r="J89" s="42"/>
      <c r="K89" s="76" t="n">
        <f aca="false">IF(Costos!$A106="","",N(Stock!$J92))</f>
        <v>0</v>
      </c>
    </row>
    <row r="90" customFormat="false" ht="15" hidden="false" customHeight="true" outlineLevel="0" collapsed="false">
      <c r="A90" s="68" t="str">
        <f aca="false">IF(Costos!$A107="","",Costos!$A107)</f>
        <v>Collar Kaya</v>
      </c>
      <c r="B90" s="68" t="str">
        <f aca="false">IF(Costos!$A107="","",Costos!$B107&amp;"")</f>
        <v>Boho Colection</v>
      </c>
      <c r="C90" s="68" t="str">
        <f aca="false">IF(Costos!$A107="","",Costos!$C107&amp;"")</f>
        <v>Collar</v>
      </c>
      <c r="D90" s="75" t="n">
        <f aca="false">IF(Costos!$A107="","",N(Costos!$K107))</f>
        <v>20000</v>
      </c>
      <c r="E90" s="69" t="n">
        <f aca="false">IF(Costos!$A107="","",N(Stock!$H93))</f>
        <v>1</v>
      </c>
      <c r="F90" s="69" t="n">
        <f aca="false">IF(Costos!$A107="","",N(Stock!$E93)+IF(LEFT(Stock!$C93,6)="Anillo",0,N(Stock!$D93)))</f>
        <v>1</v>
      </c>
      <c r="G90" s="69" t="n">
        <f aca="false">IF(Costos!$A107="","",N(Stock!$F93))</f>
        <v>0</v>
      </c>
      <c r="H90" s="69" t="n">
        <f aca="false">IF(Costos!$A107="","",N(Stock!$G93))</f>
        <v>0</v>
      </c>
      <c r="I90" s="42"/>
      <c r="J90" s="42"/>
      <c r="K90" s="76" t="n">
        <f aca="false">IF(Costos!$A107="","",N(Stock!$J93))</f>
        <v>0</v>
      </c>
    </row>
    <row r="91" customFormat="false" ht="15" hidden="false" customHeight="true" outlineLevel="0" collapsed="false">
      <c r="A91" s="68" t="str">
        <f aca="false">IF(Costos!$A108="","",Costos!$A108)</f>
        <v>Collar Isla</v>
      </c>
      <c r="B91" s="68" t="str">
        <f aca="false">IF(Costos!$A108="","",Costos!$B108&amp;"")</f>
        <v>Boho Colection</v>
      </c>
      <c r="C91" s="68" t="str">
        <f aca="false">IF(Costos!$A108="","",Costos!$C108&amp;"")</f>
        <v>Collar</v>
      </c>
      <c r="D91" s="75" t="n">
        <f aca="false">IF(Costos!$A108="","",N(Costos!$K108))</f>
        <v>25000</v>
      </c>
      <c r="E91" s="69" t="n">
        <f aca="false">IF(Costos!$A108="","",N(Stock!$H94))</f>
        <v>1</v>
      </c>
      <c r="F91" s="69" t="n">
        <f aca="false">IF(Costos!$A108="","",N(Stock!$E94)+IF(LEFT(Stock!$C94,6)="Anillo",0,N(Stock!$D94)))</f>
        <v>1</v>
      </c>
      <c r="G91" s="69" t="n">
        <f aca="false">IF(Costos!$A108="","",N(Stock!$F94))</f>
        <v>0</v>
      </c>
      <c r="H91" s="69" t="n">
        <f aca="false">IF(Costos!$A108="","",N(Stock!$G94))</f>
        <v>0</v>
      </c>
      <c r="I91" s="42"/>
      <c r="J91" s="42"/>
      <c r="K91" s="76" t="n">
        <f aca="false">IF(Costos!$A108="","",N(Stock!$J94))</f>
        <v>0</v>
      </c>
    </row>
    <row r="92" customFormat="false" ht="15" hidden="false" customHeight="true" outlineLevel="0" collapsed="false">
      <c r="A92" s="68" t="str">
        <f aca="false">IF(Costos!$A109="","",Costos!$A109)</f>
        <v>Collar Vega</v>
      </c>
      <c r="B92" s="68" t="str">
        <f aca="false">IF(Costos!$A109="","",Costos!$B109&amp;"")</f>
        <v>Boho Colection</v>
      </c>
      <c r="C92" s="68" t="str">
        <f aca="false">IF(Costos!$A109="","",Costos!$C109&amp;"")</f>
        <v>Collar</v>
      </c>
      <c r="D92" s="75" t="n">
        <f aca="false">IF(Costos!$A109="","",N(Costos!$K109))</f>
        <v>34000</v>
      </c>
      <c r="E92" s="69" t="n">
        <f aca="false">IF(Costos!$A109="","",N(Stock!$H95))</f>
        <v>1</v>
      </c>
      <c r="F92" s="69" t="n">
        <f aca="false">IF(Costos!$A109="","",N(Stock!$E95)+IF(LEFT(Stock!$C95,6)="Anillo",0,N(Stock!$D95)))</f>
        <v>1</v>
      </c>
      <c r="G92" s="69" t="n">
        <f aca="false">IF(Costos!$A109="","",N(Stock!$F95))</f>
        <v>0</v>
      </c>
      <c r="H92" s="69" t="n">
        <f aca="false">IF(Costos!$A109="","",N(Stock!$G95))</f>
        <v>0</v>
      </c>
      <c r="I92" s="42"/>
      <c r="J92" s="42"/>
      <c r="K92" s="76" t="n">
        <f aca="false">IF(Costos!$A109="","",N(Stock!$J95))</f>
        <v>0</v>
      </c>
    </row>
    <row r="93" customFormat="false" ht="15" hidden="false" customHeight="true" outlineLevel="0" collapsed="false">
      <c r="A93" s="68" t="str">
        <f aca="false">IF(Costos!$A110="","",Costos!$A110)</f>
        <v>Collar Ala</v>
      </c>
      <c r="B93" s="68" t="str">
        <f aca="false">IF(Costos!$A110="","",Costos!$B110&amp;"")</f>
        <v>Boho Colection</v>
      </c>
      <c r="C93" s="68" t="str">
        <f aca="false">IF(Costos!$A110="","",Costos!$C110&amp;"")</f>
        <v>Collar</v>
      </c>
      <c r="D93" s="75" t="n">
        <f aca="false">IF(Costos!$A110="","",N(Costos!$K110))</f>
        <v>16000</v>
      </c>
      <c r="E93" s="69" t="n">
        <f aca="false">IF(Costos!$A110="","",N(Stock!$H96))</f>
        <v>1</v>
      </c>
      <c r="F93" s="69" t="n">
        <f aca="false">IF(Costos!$A110="","",N(Stock!$E96)+IF(LEFT(Stock!$C96,6)="Anillo",0,N(Stock!$D96)))</f>
        <v>1</v>
      </c>
      <c r="G93" s="69" t="n">
        <f aca="false">IF(Costos!$A110="","",N(Stock!$F96))</f>
        <v>0</v>
      </c>
      <c r="H93" s="69" t="n">
        <f aca="false">IF(Costos!$A110="","",N(Stock!$G96))</f>
        <v>0</v>
      </c>
      <c r="I93" s="42"/>
      <c r="J93" s="42"/>
      <c r="K93" s="76" t="n">
        <f aca="false">IF(Costos!$A110="","",N(Stock!$J96))</f>
        <v>0</v>
      </c>
    </row>
    <row r="94" customFormat="false" ht="15" hidden="false" customHeight="true" outlineLevel="0" collapsed="false">
      <c r="A94" s="68" t="str">
        <f aca="false">IF(Costos!$A111="","",Costos!$A111)</f>
        <v>Collar Roma</v>
      </c>
      <c r="B94" s="68" t="str">
        <f aca="false">IF(Costos!$A111="","",Costos!$B111&amp;"")</f>
        <v>Boho Colection</v>
      </c>
      <c r="C94" s="68" t="str">
        <f aca="false">IF(Costos!$A111="","",Costos!$C111&amp;"")</f>
        <v>Collar</v>
      </c>
      <c r="D94" s="75" t="n">
        <f aca="false">IF(Costos!$A111="","",N(Costos!$K111))</f>
        <v>18000</v>
      </c>
      <c r="E94" s="69" t="n">
        <f aca="false">IF(Costos!$A111="","",N(Stock!$H97))</f>
        <v>1</v>
      </c>
      <c r="F94" s="69" t="n">
        <f aca="false">IF(Costos!$A111="","",N(Stock!$E97)+IF(LEFT(Stock!$C97,6)="Anillo",0,N(Stock!$D97)))</f>
        <v>1</v>
      </c>
      <c r="G94" s="69" t="n">
        <f aca="false">IF(Costos!$A111="","",N(Stock!$F97))</f>
        <v>0</v>
      </c>
      <c r="H94" s="69" t="n">
        <f aca="false">IF(Costos!$A111="","",N(Stock!$G97))</f>
        <v>0</v>
      </c>
      <c r="I94" s="42"/>
      <c r="J94" s="42"/>
      <c r="K94" s="76" t="n">
        <f aca="false">IF(Costos!$A111="","",N(Stock!$J97))</f>
        <v>0</v>
      </c>
    </row>
    <row r="95" customFormat="false" ht="15" hidden="false" customHeight="true" outlineLevel="0" collapsed="false">
      <c r="A95" s="68" t="str">
        <f aca="false">IF(Costos!$A112="","",Costos!$A112)</f>
        <v>Collar Lira</v>
      </c>
      <c r="B95" s="68" t="str">
        <f aca="false">IF(Costos!$A112="","",Costos!$B112&amp;"")</f>
        <v>Boho Colection</v>
      </c>
      <c r="C95" s="68" t="str">
        <f aca="false">IF(Costos!$A112="","",Costos!$C112&amp;"")</f>
        <v>Collar</v>
      </c>
      <c r="D95" s="75" t="n">
        <f aca="false">IF(Costos!$A112="","",N(Costos!$K112))</f>
        <v>16000</v>
      </c>
      <c r="E95" s="69" t="n">
        <f aca="false">IF(Costos!$A112="","",N(Stock!$H98))</f>
        <v>1</v>
      </c>
      <c r="F95" s="69" t="n">
        <f aca="false">IF(Costos!$A112="","",N(Stock!$E98)+IF(LEFT(Stock!$C98,6)="Anillo",0,N(Stock!$D98)))</f>
        <v>1</v>
      </c>
      <c r="G95" s="69" t="n">
        <f aca="false">IF(Costos!$A112="","",N(Stock!$F98))</f>
        <v>0</v>
      </c>
      <c r="H95" s="69" t="n">
        <f aca="false">IF(Costos!$A112="","",N(Stock!$G98))</f>
        <v>0</v>
      </c>
      <c r="I95" s="42"/>
      <c r="J95" s="42"/>
      <c r="K95" s="76" t="n">
        <f aca="false">IF(Costos!$A112="","",N(Stock!$J98))</f>
        <v>0</v>
      </c>
    </row>
    <row r="96" customFormat="false" ht="15" hidden="false" customHeight="true" outlineLevel="0" collapsed="false">
      <c r="A96" s="68" t="str">
        <f aca="false">IF(Costos!$A113="","",Costos!$A113)</f>
        <v>Collar Peltre</v>
      </c>
      <c r="B96" s="68" t="str">
        <f aca="false">IF(Costos!$A113="","",Costos!$B113&amp;"")</f>
        <v>Boho Colection</v>
      </c>
      <c r="C96" s="68" t="str">
        <f aca="false">IF(Costos!$A113="","",Costos!$C113&amp;"")</f>
        <v>Collar</v>
      </c>
      <c r="D96" s="75" t="n">
        <f aca="false">IF(Costos!$A113="","",N(Costos!$K113))</f>
        <v>12500</v>
      </c>
      <c r="E96" s="69" t="n">
        <f aca="false">IF(Costos!$A113="","",N(Stock!$H99))</f>
        <v>1</v>
      </c>
      <c r="F96" s="69" t="n">
        <f aca="false">IF(Costos!$A113="","",N(Stock!$E99)+IF(LEFT(Stock!$C99,6)="Anillo",0,N(Stock!$D99)))</f>
        <v>1</v>
      </c>
      <c r="G96" s="69" t="n">
        <f aca="false">IF(Costos!$A113="","",N(Stock!$F99))</f>
        <v>0</v>
      </c>
      <c r="H96" s="69" t="n">
        <f aca="false">IF(Costos!$A113="","",N(Stock!$G99))</f>
        <v>0</v>
      </c>
      <c r="I96" s="42"/>
      <c r="J96" s="42"/>
      <c r="K96" s="76" t="n">
        <f aca="false">IF(Costos!$A113="","",N(Stock!$J99))</f>
        <v>0</v>
      </c>
    </row>
    <row r="97" customFormat="false" ht="15" hidden="false" customHeight="true" outlineLevel="0" collapsed="false">
      <c r="A97" s="68" t="str">
        <f aca="false">IF(Costos!$A114="","",Costos!$A114)</f>
        <v>Collar Marea</v>
      </c>
      <c r="B97" s="68" t="str">
        <f aca="false">IF(Costos!$A114="","",Costos!$B114&amp;"")</f>
        <v>Boho Colection</v>
      </c>
      <c r="C97" s="68" t="str">
        <f aca="false">IF(Costos!$A114="","",Costos!$C114&amp;"")</f>
        <v>Collar</v>
      </c>
      <c r="D97" s="75" t="n">
        <f aca="false">IF(Costos!$A114="","",N(Costos!$K114))</f>
        <v>10000</v>
      </c>
      <c r="E97" s="69" t="n">
        <f aca="false">IF(Costos!$A114="","",N(Stock!$H100))</f>
        <v>1</v>
      </c>
      <c r="F97" s="69" t="n">
        <f aca="false">IF(Costos!$A114="","",N(Stock!$E100)+IF(LEFT(Stock!$C100,6)="Anillo",0,N(Stock!$D100)))</f>
        <v>1</v>
      </c>
      <c r="G97" s="69" t="n">
        <f aca="false">IF(Costos!$A114="","",N(Stock!$F100))</f>
        <v>0</v>
      </c>
      <c r="H97" s="69" t="n">
        <f aca="false">IF(Costos!$A114="","",N(Stock!$G100))</f>
        <v>0</v>
      </c>
      <c r="I97" s="42"/>
      <c r="J97" s="42"/>
      <c r="K97" s="76" t="n">
        <f aca="false">IF(Costos!$A114="","",N(Stock!$J100))</f>
        <v>0</v>
      </c>
    </row>
    <row r="98" customFormat="false" ht="15" hidden="false" customHeight="true" outlineLevel="0" collapsed="false">
      <c r="A98" s="68" t="str">
        <f aca="false">IF(Costos!$A115="","",Costos!$A115)</f>
        <v>Collar Arena</v>
      </c>
      <c r="B98" s="68" t="str">
        <f aca="false">IF(Costos!$A115="","",Costos!$B115&amp;"")</f>
        <v>Boho Colection</v>
      </c>
      <c r="C98" s="68" t="str">
        <f aca="false">IF(Costos!$A115="","",Costos!$C115&amp;"")</f>
        <v>Collar</v>
      </c>
      <c r="D98" s="75" t="n">
        <f aca="false">IF(Costos!$A115="","",N(Costos!$K115))</f>
        <v>13500</v>
      </c>
      <c r="E98" s="69" t="n">
        <f aca="false">IF(Costos!$A115="","",N(Stock!$H101))</f>
        <v>1</v>
      </c>
      <c r="F98" s="69" t="n">
        <f aca="false">IF(Costos!$A115="","",N(Stock!$E101)+IF(LEFT(Stock!$C101,6)="Anillo",0,N(Stock!$D101)))</f>
        <v>1</v>
      </c>
      <c r="G98" s="69" t="n">
        <f aca="false">IF(Costos!$A115="","",N(Stock!$F101))</f>
        <v>0</v>
      </c>
      <c r="H98" s="69" t="n">
        <f aca="false">IF(Costos!$A115="","",N(Stock!$G101))</f>
        <v>0</v>
      </c>
      <c r="I98" s="42"/>
      <c r="J98" s="42"/>
      <c r="K98" s="76" t="n">
        <f aca="false">IF(Costos!$A115="","",N(Stock!$J101))</f>
        <v>0</v>
      </c>
    </row>
    <row r="99" customFormat="false" ht="15" hidden="false" customHeight="true" outlineLevel="0" collapsed="false">
      <c r="A99" s="68" t="str">
        <f aca="false">IF(Costos!$A116="","",Costos!$A116)</f>
        <v/>
      </c>
      <c r="B99" s="68" t="str">
        <f aca="false">IF(Costos!$A116="","",Costos!$B116&amp;"")</f>
        <v/>
      </c>
      <c r="C99" s="68" t="str">
        <f aca="false">IF(Costos!$A116="","",Costos!$C116&amp;"")</f>
        <v/>
      </c>
      <c r="D99" s="75" t="str">
        <f aca="false">IF(Costos!$A116="","",N(Costos!$K116))</f>
        <v/>
      </c>
      <c r="E99" s="69" t="str">
        <f aca="false">IF(Costos!$A116="","",N(Stock!$H102))</f>
        <v/>
      </c>
      <c r="F99" s="69" t="str">
        <f aca="false">IF(Costos!$A116="","",N(Stock!$E102)+IF(LEFT(Stock!$C102,6)="Anillo",0,N(Stock!$D102)))</f>
        <v/>
      </c>
      <c r="G99" s="69" t="str">
        <f aca="false">IF(Costos!$A116="","",N(Stock!$F102))</f>
        <v/>
      </c>
      <c r="H99" s="69" t="str">
        <f aca="false">IF(Costos!$A116="","",N(Stock!$G102))</f>
        <v/>
      </c>
      <c r="I99" s="42"/>
      <c r="J99" s="42"/>
      <c r="K99" s="76" t="str">
        <f aca="false">IF(Costos!$A116="","",N(Stock!$J102))</f>
        <v/>
      </c>
    </row>
    <row r="100" customFormat="false" ht="15" hidden="false" customHeight="true" outlineLevel="0" collapsed="false">
      <c r="A100" s="68" t="str">
        <f aca="false">IF(Costos!$A117="","",Costos!$A117)</f>
        <v/>
      </c>
      <c r="B100" s="68" t="str">
        <f aca="false">IF(Costos!$A117="","",Costos!$B117&amp;"")</f>
        <v/>
      </c>
      <c r="C100" s="68" t="str">
        <f aca="false">IF(Costos!$A117="","",Costos!$C117&amp;"")</f>
        <v/>
      </c>
      <c r="D100" s="75" t="str">
        <f aca="false">IF(Costos!$A117="","",N(Costos!$K117))</f>
        <v/>
      </c>
      <c r="E100" s="69" t="str">
        <f aca="false">IF(Costos!$A117="","",N(Stock!$H103))</f>
        <v/>
      </c>
      <c r="F100" s="69" t="str">
        <f aca="false">IF(Costos!$A117="","",N(Stock!$E103)+IF(LEFT(Stock!$C103,6)="Anillo",0,N(Stock!$D103)))</f>
        <v/>
      </c>
      <c r="G100" s="69" t="str">
        <f aca="false">IF(Costos!$A117="","",N(Stock!$F103))</f>
        <v/>
      </c>
      <c r="H100" s="69" t="str">
        <f aca="false">IF(Costos!$A117="","",N(Stock!$G103))</f>
        <v/>
      </c>
      <c r="I100" s="42"/>
      <c r="J100" s="42"/>
      <c r="K100" s="76" t="str">
        <f aca="false">IF(Costos!$A117="","",N(Stock!$J103))</f>
        <v/>
      </c>
    </row>
    <row r="101" customFormat="false" ht="15" hidden="false" customHeight="true" outlineLevel="0" collapsed="false">
      <c r="A101" s="68" t="str">
        <f aca="false">IF(Costos!$A118="","",Costos!$A118)</f>
        <v/>
      </c>
      <c r="B101" s="68" t="str">
        <f aca="false">IF(Costos!$A118="","",Costos!$B118&amp;"")</f>
        <v/>
      </c>
      <c r="C101" s="68" t="str">
        <f aca="false">IF(Costos!$A118="","",Costos!$C118&amp;"")</f>
        <v/>
      </c>
      <c r="D101" s="75" t="str">
        <f aca="false">IF(Costos!$A118="","",N(Costos!$K118))</f>
        <v/>
      </c>
      <c r="E101" s="69" t="str">
        <f aca="false">IF(Costos!$A118="","",N(Stock!$H104))</f>
        <v/>
      </c>
      <c r="F101" s="69" t="str">
        <f aca="false">IF(Costos!$A118="","",N(Stock!$E104)+IF(LEFT(Stock!$C104,6)="Anillo",0,N(Stock!$D104)))</f>
        <v/>
      </c>
      <c r="G101" s="69" t="str">
        <f aca="false">IF(Costos!$A118="","",N(Stock!$F104))</f>
        <v/>
      </c>
      <c r="H101" s="69" t="str">
        <f aca="false">IF(Costos!$A118="","",N(Stock!$G104))</f>
        <v/>
      </c>
      <c r="I101" s="42"/>
      <c r="J101" s="42"/>
      <c r="K101" s="76" t="str">
        <f aca="false">IF(Costos!$A118="","",N(Stock!$J104))</f>
        <v/>
      </c>
    </row>
    <row r="102" customFormat="false" ht="15" hidden="false" customHeight="true" outlineLevel="0" collapsed="false">
      <c r="A102" s="68" t="str">
        <f aca="false">IF(Costos!$A119="","",Costos!$A119)</f>
        <v>Aros Rosella Plateados</v>
      </c>
      <c r="B102" s="68" t="str">
        <f aca="false">IF(Costos!$A119="","",Costos!$B119&amp;"")</f>
        <v>Acero inoxidable</v>
      </c>
      <c r="C102" s="68" t="str">
        <f aca="false">IF(Costos!$A119="","",Costos!$C119&amp;"")</f>
        <v>Aros</v>
      </c>
      <c r="D102" s="75" t="n">
        <f aca="false">IF(Costos!$A119="","",N(Costos!$K119))</f>
        <v>15000</v>
      </c>
      <c r="E102" s="69" t="n">
        <f aca="false">IF(Costos!$A119="","",N(Stock!$H105))</f>
        <v>1</v>
      </c>
      <c r="F102" s="69" t="n">
        <f aca="false">IF(Costos!$A119="","",N(Stock!$E105)+IF(LEFT(Stock!$C105,6)="Anillo",0,N(Stock!$D105)))</f>
        <v>1</v>
      </c>
      <c r="G102" s="69" t="n">
        <f aca="false">IF(Costos!$A119="","",N(Stock!$F105))</f>
        <v>0</v>
      </c>
      <c r="H102" s="69" t="n">
        <f aca="false">IF(Costos!$A119="","",N(Stock!$G105))</f>
        <v>0</v>
      </c>
      <c r="I102" s="42"/>
      <c r="J102" s="42"/>
      <c r="K102" s="76" t="n">
        <f aca="false">IF(Costos!$A119="","",N(Stock!$J105))</f>
        <v>0</v>
      </c>
    </row>
    <row r="103" customFormat="false" ht="15" hidden="false" customHeight="true" outlineLevel="0" collapsed="false">
      <c r="A103" s="68" t="str">
        <f aca="false">IF(Costos!$A120="","",Costos!$A120)</f>
        <v>Aros  </v>
      </c>
      <c r="B103" s="68" t="str">
        <f aca="false">IF(Costos!$A120="","",Costos!$B120&amp;"")</f>
        <v>Acero inoxidable</v>
      </c>
      <c r="C103" s="68" t="str">
        <f aca="false">IF(Costos!$A120="","",Costos!$C120&amp;"")</f>
        <v>Aros</v>
      </c>
      <c r="D103" s="75" t="n">
        <f aca="false">IF(Costos!$A120="","",N(Costos!$K120))</f>
        <v>15000</v>
      </c>
      <c r="E103" s="69" t="n">
        <f aca="false">IF(Costos!$A120="","",N(Stock!$H106))</f>
        <v>0</v>
      </c>
      <c r="F103" s="69" t="n">
        <f aca="false">IF(Costos!$A120="","",N(Stock!$E106)+IF(LEFT(Stock!$C106,6)="Anillo",0,N(Stock!$D106)))</f>
        <v>0</v>
      </c>
      <c r="G103" s="69" t="n">
        <f aca="false">IF(Costos!$A120="","",N(Stock!$F106))</f>
        <v>0</v>
      </c>
      <c r="H103" s="69" t="n">
        <f aca="false">IF(Costos!$A120="","",N(Stock!$G106))</f>
        <v>0</v>
      </c>
      <c r="I103" s="42"/>
      <c r="J103" s="42"/>
      <c r="K103" s="76" t="n">
        <f aca="false">IF(Costos!$A120="","",N(Stock!$J106))</f>
        <v>0</v>
      </c>
    </row>
    <row r="104" customFormat="false" ht="15" hidden="false" customHeight="true" outlineLevel="0" collapsed="false">
      <c r="A104" s="68" t="str">
        <f aca="false">IF(Costos!$A121="","",Costos!$A121)</f>
        <v>Aros Capri Vino</v>
      </c>
      <c r="B104" s="68" t="str">
        <f aca="false">IF(Costos!$A121="","",Costos!$B121&amp;"")</f>
        <v>Acero dorado</v>
      </c>
      <c r="C104" s="68" t="str">
        <f aca="false">IF(Costos!$A121="","",Costos!$C121&amp;"")</f>
        <v>Aros</v>
      </c>
      <c r="D104" s="75" t="n">
        <f aca="false">IF(Costos!$A121="","",N(Costos!$K121))</f>
        <v>15000</v>
      </c>
      <c r="E104" s="69" t="n">
        <f aca="false">IF(Costos!$A121="","",N(Stock!$H107))</f>
        <v>1</v>
      </c>
      <c r="F104" s="69" t="n">
        <f aca="false">IF(Costos!$A121="","",N(Stock!$E107)+IF(LEFT(Stock!$C107,6)="Anillo",0,N(Stock!$D107)))</f>
        <v>1</v>
      </c>
      <c r="G104" s="69" t="n">
        <f aca="false">IF(Costos!$A121="","",N(Stock!$F107))</f>
        <v>0</v>
      </c>
      <c r="H104" s="69" t="n">
        <f aca="false">IF(Costos!$A121="","",N(Stock!$G107))</f>
        <v>0</v>
      </c>
      <c r="I104" s="42"/>
      <c r="J104" s="42"/>
      <c r="K104" s="76" t="n">
        <f aca="false">IF(Costos!$A121="","",N(Stock!$J107))</f>
        <v>0</v>
      </c>
    </row>
    <row r="105" customFormat="false" ht="15" hidden="false" customHeight="true" outlineLevel="0" collapsed="false">
      <c r="A105" s="68" t="str">
        <f aca="false">IF(Costos!$A122="","",Costos!$A122)</f>
        <v>Aros Capri Rosa</v>
      </c>
      <c r="B105" s="68" t="str">
        <f aca="false">IF(Costos!$A122="","",Costos!$B122&amp;"")</f>
        <v>Acero dorado</v>
      </c>
      <c r="C105" s="68" t="str">
        <f aca="false">IF(Costos!$A122="","",Costos!$C122&amp;"")</f>
        <v>Aros</v>
      </c>
      <c r="D105" s="75" t="n">
        <f aca="false">IF(Costos!$A122="","",N(Costos!$K122))</f>
        <v>15000</v>
      </c>
      <c r="E105" s="69" t="n">
        <f aca="false">IF(Costos!$A122="","",N(Stock!$H108))</f>
        <v>1</v>
      </c>
      <c r="F105" s="69" t="n">
        <f aca="false">IF(Costos!$A122="","",N(Stock!$E108)+IF(LEFT(Stock!$C108,6)="Anillo",0,N(Stock!$D108)))</f>
        <v>1</v>
      </c>
      <c r="G105" s="69" t="n">
        <f aca="false">IF(Costos!$A122="","",N(Stock!$F108))</f>
        <v>0</v>
      </c>
      <c r="H105" s="69" t="n">
        <f aca="false">IF(Costos!$A122="","",N(Stock!$G108))</f>
        <v>0</v>
      </c>
      <c r="I105" s="42"/>
      <c r="J105" s="42"/>
      <c r="K105" s="76" t="n">
        <f aca="false">IF(Costos!$A122="","",N(Stock!$J108))</f>
        <v>0</v>
      </c>
    </row>
    <row r="106" customFormat="false" ht="15.75" hidden="false" customHeight="true" outlineLevel="0" collapsed="false">
      <c r="A106" s="68" t="str">
        <f aca="false">IF(Costos!$A123="","",Costos!$A123)</f>
        <v>Aros Capri Verde</v>
      </c>
      <c r="B106" s="68" t="str">
        <f aca="false">IF(Costos!$A123="","",Costos!$B123&amp;"")</f>
        <v>Acero dorado</v>
      </c>
      <c r="C106" s="68" t="str">
        <f aca="false">IF(Costos!$A123="","",Costos!$C123&amp;"")</f>
        <v>Aros</v>
      </c>
      <c r="D106" s="75" t="n">
        <f aca="false">IF(Costos!$A123="","",N(Costos!$K123))</f>
        <v>16000</v>
      </c>
      <c r="E106" s="69" t="n">
        <f aca="false">IF(Costos!$A123="","",N(Stock!$H109))</f>
        <v>1</v>
      </c>
      <c r="F106" s="69" t="n">
        <f aca="false">IF(Costos!$A123="","",N(Stock!$E109)+IF(LEFT(Stock!$C109,6)="Anillo",0,N(Stock!$D109)))</f>
        <v>1</v>
      </c>
      <c r="G106" s="69" t="n">
        <f aca="false">IF(Costos!$A123="","",N(Stock!$F109))</f>
        <v>0</v>
      </c>
      <c r="H106" s="69" t="n">
        <f aca="false">IF(Costos!$A123="","",N(Stock!$G109))</f>
        <v>0</v>
      </c>
      <c r="I106" s="42"/>
      <c r="J106" s="42"/>
      <c r="K106" s="76" t="n">
        <f aca="false">IF(Costos!$A123="","",N(Stock!$J109))</f>
        <v>0</v>
      </c>
    </row>
    <row r="107" customFormat="false" ht="15.75" hidden="false" customHeight="true" outlineLevel="0" collapsed="false">
      <c r="A107" s="68" t="str">
        <f aca="false">IF(Costos!$A124="","",Costos!$A124)</f>
        <v>Aros Capri Blanco</v>
      </c>
      <c r="B107" s="68" t="str">
        <f aca="false">IF(Costos!$A124="","",Costos!$B124&amp;"")</f>
        <v>Acero dorado</v>
      </c>
      <c r="C107" s="68" t="str">
        <f aca="false">IF(Costos!$A124="","",Costos!$C124&amp;"")</f>
        <v>Aros</v>
      </c>
      <c r="D107" s="75" t="n">
        <f aca="false">IF(Costos!$A124="","",N(Costos!$K124))</f>
        <v>16000</v>
      </c>
      <c r="E107" s="69" t="n">
        <f aca="false">IF(Costos!$A124="","",N(Stock!$H110))</f>
        <v>1</v>
      </c>
      <c r="F107" s="69" t="n">
        <f aca="false">IF(Costos!$A124="","",N(Stock!$E110)+IF(LEFT(Stock!$C110,6)="Anillo",0,N(Stock!$D110)))</f>
        <v>1</v>
      </c>
      <c r="G107" s="69" t="n">
        <f aca="false">IF(Costos!$A124="","",N(Stock!$F110))</f>
        <v>0</v>
      </c>
      <c r="H107" s="69" t="n">
        <f aca="false">IF(Costos!$A124="","",N(Stock!$G110))</f>
        <v>0</v>
      </c>
      <c r="I107" s="42"/>
      <c r="J107" s="42"/>
      <c r="K107" s="76" t="n">
        <f aca="false">IF(Costos!$A124="","",N(Stock!$J110))</f>
        <v>0</v>
      </c>
    </row>
    <row r="108" customFormat="false" ht="15" hidden="false" customHeight="true" outlineLevel="0" collapsed="false">
      <c r="A108" s="68" t="str">
        <f aca="false">IF(Costos!$A125="","",Costos!$A125)</f>
        <v>Aros Cuore</v>
      </c>
      <c r="B108" s="68" t="str">
        <f aca="false">IF(Costos!$A125="","",Costos!$B125&amp;"")</f>
        <v>Acero dorado</v>
      </c>
      <c r="C108" s="68" t="str">
        <f aca="false">IF(Costos!$A125="","",Costos!$C125&amp;"")</f>
        <v>Aros</v>
      </c>
      <c r="D108" s="75" t="n">
        <f aca="false">IF(Costos!$A125="","",N(Costos!$K125))</f>
        <v>20000</v>
      </c>
      <c r="E108" s="69" t="n">
        <f aca="false">IF(Costos!$A125="","",N(Stock!$H111))</f>
        <v>2</v>
      </c>
      <c r="F108" s="69" t="n">
        <f aca="false">IF(Costos!$A125="","",N(Stock!$E111)+IF(LEFT(Stock!$C111,6)="Anillo",0,N(Stock!$D111)))</f>
        <v>2</v>
      </c>
      <c r="G108" s="69" t="n">
        <f aca="false">IF(Costos!$A125="","",N(Stock!$F111))</f>
        <v>0</v>
      </c>
      <c r="H108" s="69" t="n">
        <f aca="false">IF(Costos!$A125="","",N(Stock!$G111))</f>
        <v>0</v>
      </c>
      <c r="I108" s="42"/>
      <c r="J108" s="42"/>
      <c r="K108" s="76" t="n">
        <f aca="false">IF(Costos!$A125="","",N(Stock!$J111))</f>
        <v>0</v>
      </c>
    </row>
    <row r="109" customFormat="false" ht="15" hidden="false" customHeight="true" outlineLevel="0" collapsed="false">
      <c r="A109" s="68" t="str">
        <f aca="false">IF(Costos!$A126="","",Costos!$A126)</f>
        <v>Collar Amour Chunky</v>
      </c>
      <c r="B109" s="68" t="str">
        <f aca="false">IF(Costos!$A126="","",Costos!$B126&amp;"")</f>
        <v>Acero inoxidable</v>
      </c>
      <c r="C109" s="68" t="str">
        <f aca="false">IF(Costos!$A126="","",Costos!$C126&amp;"")</f>
        <v>Collar</v>
      </c>
      <c r="D109" s="75" t="n">
        <f aca="false">IF(Costos!$A126="","",N(Costos!$K126))</f>
        <v>21500</v>
      </c>
      <c r="E109" s="69" t="n">
        <f aca="false">IF(Costos!$A126="","",N(Stock!$H112))</f>
        <v>1</v>
      </c>
      <c r="F109" s="69" t="n">
        <f aca="false">IF(Costos!$A126="","",N(Stock!$E112)+IF(LEFT(Stock!$C112,6)="Anillo",0,N(Stock!$D112)))</f>
        <v>1</v>
      </c>
      <c r="G109" s="69" t="n">
        <f aca="false">IF(Costos!$A126="","",N(Stock!$F112))</f>
        <v>0</v>
      </c>
      <c r="H109" s="69" t="n">
        <f aca="false">IF(Costos!$A126="","",N(Stock!$G112))</f>
        <v>0</v>
      </c>
      <c r="I109" s="42"/>
      <c r="J109" s="42"/>
      <c r="K109" s="76" t="n">
        <f aca="false">IF(Costos!$A126="","",N(Stock!$J112))</f>
        <v>0</v>
      </c>
    </row>
    <row r="110" customFormat="false" ht="15" hidden="false" customHeight="true" outlineLevel="0" collapsed="false">
      <c r="A110" s="68" t="str">
        <f aca="false">IF(Costos!$A127="","",Costos!$A127)</f>
        <v>Anillo Corazón II Dorado</v>
      </c>
      <c r="B110" s="68" t="str">
        <f aca="false">IF(Costos!$A127="","",Costos!$B127&amp;"")</f>
        <v>Acero dorado</v>
      </c>
      <c r="C110" s="68" t="str">
        <f aca="false">IF(Costos!$A127="","",Costos!$C127&amp;"")</f>
        <v>Anillo</v>
      </c>
      <c r="D110" s="75" t="n">
        <f aca="false">IF(Costos!$A127="","",N(Costos!$K127))</f>
        <v>12000</v>
      </c>
      <c r="E110" s="69" t="n">
        <f aca="false">IF(Costos!$A127="","",N(Stock!$H113))</f>
        <v>2</v>
      </c>
      <c r="F110" s="69" t="n">
        <f aca="false">IF(Costos!$A127="","",N(Stock!$E113)+IF(LEFT(Stock!$C113,6)="Anillo",0,N(Stock!$D113)))</f>
        <v>0</v>
      </c>
      <c r="G110" s="69" t="n">
        <f aca="false">IF(Costos!$A127="","",N(Stock!$F113))</f>
        <v>0</v>
      </c>
      <c r="H110" s="69" t="n">
        <f aca="false">IF(Costos!$A127="","",N(Stock!$G113))</f>
        <v>0</v>
      </c>
      <c r="I110" s="42"/>
      <c r="J110" s="42"/>
      <c r="K110" s="76" t="n">
        <f aca="false">IF(Costos!$A127="","",N(Stock!$J113))</f>
        <v>0</v>
      </c>
    </row>
    <row r="111" customFormat="false" ht="15" hidden="false" customHeight="true" outlineLevel="0" collapsed="false">
      <c r="A111" s="68" t="str">
        <f aca="false">IF(Costos!$A128="","",Costos!$A128)</f>
        <v>Anillo Lia Dorado</v>
      </c>
      <c r="B111" s="68" t="str">
        <f aca="false">IF(Costos!$A128="","",Costos!$B128&amp;"")</f>
        <v>Acero dorado</v>
      </c>
      <c r="C111" s="68" t="str">
        <f aca="false">IF(Costos!$A128="","",Costos!$C128&amp;"")</f>
        <v>Anillo</v>
      </c>
      <c r="D111" s="75" t="n">
        <f aca="false">IF(Costos!$A128="","",N(Costos!$K128))</f>
        <v>11500</v>
      </c>
      <c r="E111" s="69" t="n">
        <f aca="false">IF(Costos!$A128="","",N(Stock!$H114))</f>
        <v>2</v>
      </c>
      <c r="F111" s="69" t="n">
        <f aca="false">IF(Costos!$A128="","",N(Stock!$E114)+IF(LEFT(Stock!$C114,6)="Anillo",0,N(Stock!$D114)))</f>
        <v>0</v>
      </c>
      <c r="G111" s="69" t="n">
        <f aca="false">IF(Costos!$A128="","",N(Stock!$F114))</f>
        <v>0</v>
      </c>
      <c r="H111" s="69" t="n">
        <f aca="false">IF(Costos!$A128="","",N(Stock!$G114))</f>
        <v>0</v>
      </c>
      <c r="I111" s="42"/>
      <c r="J111" s="42"/>
      <c r="K111" s="76" t="n">
        <f aca="false">IF(Costos!$A128="","",N(Stock!$J114))</f>
        <v>0</v>
      </c>
    </row>
    <row r="112" customFormat="false" ht="15" hidden="false" customHeight="true" outlineLevel="0" collapsed="false">
      <c r="A112" s="68" t="str">
        <f aca="false">IF(Costos!$A129="","",Costos!$A129)</f>
        <v>Anillo Lia Plateado</v>
      </c>
      <c r="B112" s="68" t="str">
        <f aca="false">IF(Costos!$A129="","",Costos!$B129&amp;"")</f>
        <v>Acero inoxidable</v>
      </c>
      <c r="C112" s="68" t="str">
        <f aca="false">IF(Costos!$A129="","",Costos!$C129&amp;"")</f>
        <v>Anillo</v>
      </c>
      <c r="D112" s="75" t="n">
        <f aca="false">IF(Costos!$A129="","",N(Costos!$K129))</f>
        <v>11500</v>
      </c>
      <c r="E112" s="69" t="n">
        <f aca="false">IF(Costos!$A129="","",N(Stock!$H115))</f>
        <v>2</v>
      </c>
      <c r="F112" s="69" t="n">
        <f aca="false">IF(Costos!$A129="","",N(Stock!$E115)+IF(LEFT(Stock!$C115,6)="Anillo",0,N(Stock!$D115)))</f>
        <v>0</v>
      </c>
      <c r="G112" s="69" t="n">
        <f aca="false">IF(Costos!$A129="","",N(Stock!$F115))</f>
        <v>0</v>
      </c>
      <c r="H112" s="69" t="n">
        <f aca="false">IF(Costos!$A129="","",N(Stock!$G115))</f>
        <v>0</v>
      </c>
      <c r="I112" s="42"/>
      <c r="J112" s="42"/>
      <c r="K112" s="76" t="n">
        <f aca="false">IF(Costos!$A129="","",N(Stock!$J115))</f>
        <v>0</v>
      </c>
    </row>
    <row r="113" customFormat="false" ht="15" hidden="false" customHeight="true" outlineLevel="0" collapsed="false">
      <c r="A113" s="68" t="str">
        <f aca="false">IF(Costos!$A130="","",Costos!$A130)</f>
        <v>Anillo Onix</v>
      </c>
      <c r="B113" s="68" t="str">
        <f aca="false">IF(Costos!$A130="","",Costos!$B130&amp;"")</f>
        <v>Acero inoxidable</v>
      </c>
      <c r="C113" s="68" t="str">
        <f aca="false">IF(Costos!$A130="","",Costos!$C130&amp;"")</f>
        <v>Anillo</v>
      </c>
      <c r="D113" s="75" t="n">
        <f aca="false">IF(Costos!$A130="","",N(Costos!$K130))</f>
        <v>11500</v>
      </c>
      <c r="E113" s="69" t="n">
        <f aca="false">IF(Costos!$A130="","",N(Stock!$H116))</f>
        <v>0</v>
      </c>
      <c r="F113" s="69" t="n">
        <f aca="false">IF(Costos!$A130="","",N(Stock!$E116)+IF(LEFT(Stock!$C116,6)="Anillo",0,N(Stock!$D116)))</f>
        <v>0</v>
      </c>
      <c r="G113" s="69" t="n">
        <f aca="false">IF(Costos!$A130="","",N(Stock!$F116))</f>
        <v>0</v>
      </c>
      <c r="H113" s="69" t="n">
        <f aca="false">IF(Costos!$A130="","",N(Stock!$G116))</f>
        <v>0</v>
      </c>
      <c r="I113" s="42"/>
      <c r="J113" s="42"/>
      <c r="K113" s="76" t="n">
        <f aca="false">IF(Costos!$A130="","",N(Stock!$J116))</f>
        <v>0</v>
      </c>
    </row>
    <row r="114" customFormat="false" ht="15" hidden="false" customHeight="true" outlineLevel="0" collapsed="false">
      <c r="A114" s="68" t="str">
        <f aca="false">IF(Costos!$A131="","",Costos!$A131)</f>
        <v>Pulsera Bolitas</v>
      </c>
      <c r="B114" s="68" t="str">
        <f aca="false">IF(Costos!$A131="","",Costos!$B131&amp;"")</f>
        <v>Acero dorado</v>
      </c>
      <c r="C114" s="68" t="str">
        <f aca="false">IF(Costos!$A131="","",Costos!$C131&amp;"")</f>
        <v>Pulsera</v>
      </c>
      <c r="D114" s="75" t="n">
        <f aca="false">IF(Costos!$A131="","",N(Costos!$K131))</f>
        <v>10000</v>
      </c>
      <c r="E114" s="69" t="n">
        <f aca="false">IF(Costos!$A131="","",N(Stock!$H117))</f>
        <v>2</v>
      </c>
      <c r="F114" s="69" t="n">
        <f aca="false">IF(Costos!$A131="","",N(Stock!$E117)+IF(LEFT(Stock!$C117,6)="Anillo",0,N(Stock!$D117)))</f>
        <v>2</v>
      </c>
      <c r="G114" s="69" t="n">
        <f aca="false">IF(Costos!$A131="","",N(Stock!$F117))</f>
        <v>0</v>
      </c>
      <c r="H114" s="69" t="n">
        <f aca="false">IF(Costos!$A131="","",N(Stock!$G117))</f>
        <v>0</v>
      </c>
      <c r="I114" s="42"/>
      <c r="J114" s="42"/>
      <c r="K114" s="76" t="n">
        <f aca="false">IF(Costos!$A131="","",N(Stock!$J117))</f>
        <v>0</v>
      </c>
    </row>
    <row r="115" customFormat="false" ht="15.75" hidden="false" customHeight="true" outlineLevel="0" collapsed="false">
      <c r="A115" s="68" t="str">
        <f aca="false">IF(Costos!$A132="","",Costos!$A132)</f>
        <v/>
      </c>
      <c r="B115" s="68" t="str">
        <f aca="false">IF(Costos!$A132="","",Costos!$B132&amp;"")</f>
        <v/>
      </c>
      <c r="C115" s="68" t="str">
        <f aca="false">IF(Costos!$A132="","",Costos!$C132&amp;"")</f>
        <v/>
      </c>
      <c r="D115" s="75" t="str">
        <f aca="false">IF(Costos!$A132="","",N(Costos!$K132))</f>
        <v/>
      </c>
      <c r="E115" s="69" t="str">
        <f aca="false">IF(Costos!$A132="","",N(Stock!$H118))</f>
        <v/>
      </c>
      <c r="F115" s="69" t="str">
        <f aca="false">IF(Costos!$A132="","",N(Stock!$E118)+IF(LEFT(Stock!$C118,6)="Anillo",0,N(Stock!$D118)))</f>
        <v/>
      </c>
      <c r="G115" s="69" t="str">
        <f aca="false">IF(Costos!$A132="","",N(Stock!$F118))</f>
        <v/>
      </c>
      <c r="H115" s="69" t="str">
        <f aca="false">IF(Costos!$A132="","",N(Stock!$G118))</f>
        <v/>
      </c>
      <c r="I115" s="42"/>
      <c r="J115" s="42"/>
      <c r="K115" s="76" t="str">
        <f aca="false">IF(Costos!$A132="","",N(Stock!$J118))</f>
        <v/>
      </c>
    </row>
    <row r="116" customFormat="false" ht="15.75" hidden="false" customHeight="true" outlineLevel="0" collapsed="false">
      <c r="A116" s="68" t="str">
        <f aca="false">IF(Costos!$A133="","",Costos!$A133)</f>
        <v/>
      </c>
      <c r="B116" s="68" t="str">
        <f aca="false">IF(Costos!$A133="","",Costos!$B133&amp;"")</f>
        <v/>
      </c>
      <c r="C116" s="68" t="str">
        <f aca="false">IF(Costos!$A133="","",Costos!$C133&amp;"")</f>
        <v/>
      </c>
      <c r="D116" s="75" t="str">
        <f aca="false">IF(Costos!$A133="","",N(Costos!$K133))</f>
        <v/>
      </c>
      <c r="E116" s="69" t="str">
        <f aca="false">IF(Costos!$A133="","",N(Stock!$H119))</f>
        <v/>
      </c>
      <c r="F116" s="69" t="str">
        <f aca="false">IF(Costos!$A133="","",N(Stock!$E119)+IF(LEFT(Stock!$C119,6)="Anillo",0,N(Stock!$D119)))</f>
        <v/>
      </c>
      <c r="G116" s="69" t="str">
        <f aca="false">IF(Costos!$A133="","",N(Stock!$F119))</f>
        <v/>
      </c>
      <c r="H116" s="69" t="str">
        <f aca="false">IF(Costos!$A133="","",N(Stock!$G119))</f>
        <v/>
      </c>
      <c r="I116" s="42"/>
      <c r="J116" s="42"/>
      <c r="K116" s="76" t="str">
        <f aca="false">IF(Costos!$A133="","",N(Stock!$J119))</f>
        <v/>
      </c>
    </row>
    <row r="117" customFormat="false" ht="15.75" hidden="false" customHeight="true" outlineLevel="0" collapsed="false">
      <c r="A117" s="68" t="str">
        <f aca="false">IF(Costos!$A134="","",Costos!$A134)</f>
        <v>Duo Collar Nazar Rojo</v>
      </c>
      <c r="B117" s="68" t="str">
        <f aca="false">IF(Costos!$A134="","",Costos!$B134&amp;"")</f>
        <v>Acero dorado</v>
      </c>
      <c r="C117" s="68" t="str">
        <f aca="false">IF(Costos!$A134="","",Costos!$C134&amp;"")</f>
        <v>Collar</v>
      </c>
      <c r="D117" s="75" t="n">
        <f aca="false">IF(Costos!$A134="","",N(Costos!$K134))</f>
        <v>24000</v>
      </c>
      <c r="E117" s="69" t="n">
        <f aca="false">IF(Costos!$A134="","",N(Stock!$H120))</f>
        <v>2</v>
      </c>
      <c r="F117" s="69" t="n">
        <f aca="false">IF(Costos!$A134="","",N(Stock!$E120)+IF(LEFT(Stock!$C120,6)="Anillo",0,N(Stock!$D120)))</f>
        <v>2</v>
      </c>
      <c r="G117" s="69" t="n">
        <f aca="false">IF(Costos!$A134="","",N(Stock!$F120))</f>
        <v>0</v>
      </c>
      <c r="H117" s="69" t="n">
        <f aca="false">IF(Costos!$A134="","",N(Stock!$G120))</f>
        <v>0</v>
      </c>
      <c r="I117" s="42"/>
      <c r="J117" s="42"/>
      <c r="K117" s="76" t="n">
        <f aca="false">IF(Costos!$A134="","",N(Stock!$J120))</f>
        <v>0</v>
      </c>
    </row>
    <row r="118" customFormat="false" ht="15.75" hidden="false" customHeight="true" outlineLevel="0" collapsed="false">
      <c r="A118" s="68" t="str">
        <f aca="false">IF(Costos!$A135="","",Costos!$A135)</f>
        <v>Duo Collar Nazar Blanco</v>
      </c>
      <c r="B118" s="68" t="str">
        <f aca="false">IF(Costos!$A135="","",Costos!$B135&amp;"")</f>
        <v>Acero dorado</v>
      </c>
      <c r="C118" s="68" t="str">
        <f aca="false">IF(Costos!$A135="","",Costos!$C135&amp;"")</f>
        <v>Collar</v>
      </c>
      <c r="D118" s="75" t="n">
        <f aca="false">IF(Costos!$A135="","",N(Costos!$K135))</f>
        <v>24000</v>
      </c>
      <c r="E118" s="69" t="n">
        <f aca="false">IF(Costos!$A135="","",N(Stock!$H121))</f>
        <v>1</v>
      </c>
      <c r="F118" s="69" t="n">
        <f aca="false">IF(Costos!$A135="","",N(Stock!$E121)+IF(LEFT(Stock!$C121,6)="Anillo",0,N(Stock!$D121)))</f>
        <v>1</v>
      </c>
      <c r="G118" s="69" t="n">
        <f aca="false">IF(Costos!$A135="","",N(Stock!$F121))</f>
        <v>0</v>
      </c>
      <c r="H118" s="69" t="n">
        <f aca="false">IF(Costos!$A135="","",N(Stock!$G121))</f>
        <v>0</v>
      </c>
      <c r="I118" s="42"/>
      <c r="J118" s="42"/>
      <c r="K118" s="76" t="n">
        <f aca="false">IF(Costos!$A135="","",N(Stock!$J121))</f>
        <v>0</v>
      </c>
    </row>
    <row r="119" customFormat="false" ht="15.75" hidden="false" customHeight="true" outlineLevel="0" collapsed="false">
      <c r="A119" s="68" t="str">
        <f aca="false">IF(Costos!$A136="","",Costos!$A136)</f>
        <v>Collar Ocampo</v>
      </c>
      <c r="B119" s="68" t="str">
        <f aca="false">IF(Costos!$A136="","",Costos!$B136&amp;"")</f>
        <v>Acero inoxidable</v>
      </c>
      <c r="C119" s="68" t="str">
        <f aca="false">IF(Costos!$A136="","",Costos!$C136&amp;"")</f>
        <v>Collar</v>
      </c>
      <c r="D119" s="75" t="n">
        <f aca="false">IF(Costos!$A136="","",N(Costos!$K136))</f>
        <v>9000</v>
      </c>
      <c r="E119" s="69" t="n">
        <f aca="false">IF(Costos!$A136="","",N(Stock!$H122))</f>
        <v>2</v>
      </c>
      <c r="F119" s="69" t="n">
        <f aca="false">IF(Costos!$A136="","",N(Stock!$E122)+IF(LEFT(Stock!$C122,6)="Anillo",0,N(Stock!$D122)))</f>
        <v>2</v>
      </c>
      <c r="G119" s="69" t="n">
        <f aca="false">IF(Costos!$A136="","",N(Stock!$F122))</f>
        <v>0</v>
      </c>
      <c r="H119" s="69" t="n">
        <f aca="false">IF(Costos!$A136="","",N(Stock!$G122))</f>
        <v>0</v>
      </c>
      <c r="I119" s="42"/>
      <c r="J119" s="42"/>
      <c r="K119" s="76" t="n">
        <f aca="false">IF(Costos!$A136="","",N(Stock!$J122))</f>
        <v>0</v>
      </c>
    </row>
    <row r="120" customFormat="false" ht="15.75" hidden="false" customHeight="true" outlineLevel="0" collapsed="false">
      <c r="A120" s="68" t="str">
        <f aca="false">IF(Costos!$A137="","",Costos!$A137)</f>
        <v/>
      </c>
      <c r="B120" s="68" t="str">
        <f aca="false">IF(Costos!$A137="","",Costos!$B137&amp;"")</f>
        <v/>
      </c>
      <c r="C120" s="68" t="str">
        <f aca="false">IF(Costos!$A137="","",Costos!$C137&amp;"")</f>
        <v/>
      </c>
      <c r="D120" s="75" t="str">
        <f aca="false">IF(Costos!$A137="","",N(Costos!$K137))</f>
        <v/>
      </c>
      <c r="E120" s="69" t="str">
        <f aca="false">IF(Costos!$A137="","",N(Stock!$H123))</f>
        <v/>
      </c>
      <c r="F120" s="69" t="str">
        <f aca="false">IF(Costos!$A137="","",N(Stock!$E123)+IF(LEFT(Stock!$C123,6)="Anillo",0,N(Stock!$D123)))</f>
        <v/>
      </c>
      <c r="G120" s="69" t="str">
        <f aca="false">IF(Costos!$A137="","",N(Stock!$F123))</f>
        <v/>
      </c>
      <c r="H120" s="69" t="str">
        <f aca="false">IF(Costos!$A137="","",N(Stock!$G123))</f>
        <v/>
      </c>
      <c r="I120" s="42"/>
      <c r="J120" s="42"/>
      <c r="K120" s="76" t="str">
        <f aca="false">IF(Costos!$A137="","",N(Stock!$J123))</f>
        <v/>
      </c>
    </row>
    <row r="121" customFormat="false" ht="15.75" hidden="false" customHeight="true" outlineLevel="0" collapsed="false">
      <c r="A121" s="68" t="str">
        <f aca="false">IF(Costos!$A138="","",Costos!$A138)</f>
        <v/>
      </c>
      <c r="B121" s="68" t="str">
        <f aca="false">IF(Costos!$A138="","",Costos!$B138&amp;"")</f>
        <v/>
      </c>
      <c r="C121" s="68" t="str">
        <f aca="false">IF(Costos!$A138="","",Costos!$C138&amp;"")</f>
        <v/>
      </c>
      <c r="D121" s="75" t="str">
        <f aca="false">IF(Costos!$A138="","",N(Costos!$K138))</f>
        <v/>
      </c>
      <c r="E121" s="69" t="str">
        <f aca="false">IF(Costos!$A138="","",N(Stock!$H124))</f>
        <v/>
      </c>
      <c r="F121" s="69" t="str">
        <f aca="false">IF(Costos!$A138="","",N(Stock!$E124)+IF(LEFT(Stock!$C124,6)="Anillo",0,N(Stock!$D124)))</f>
        <v/>
      </c>
      <c r="G121" s="69" t="str">
        <f aca="false">IF(Costos!$A138="","",N(Stock!$F124))</f>
        <v/>
      </c>
      <c r="H121" s="69" t="str">
        <f aca="false">IF(Costos!$A138="","",N(Stock!$G124))</f>
        <v/>
      </c>
      <c r="I121" s="42"/>
      <c r="J121" s="42"/>
      <c r="K121" s="76" t="str">
        <f aca="false">IF(Costos!$A138="","",N(Stock!$J124))</f>
        <v/>
      </c>
    </row>
    <row r="122" customFormat="false" ht="15.75" hidden="false" customHeight="true" outlineLevel="0" collapsed="false">
      <c r="A122" s="68" t="str">
        <f aca="false">IF(Costos!$A139="","",Costos!$A139)</f>
        <v/>
      </c>
      <c r="B122" s="68" t="str">
        <f aca="false">IF(Costos!$A139="","",Costos!$B139&amp;"")</f>
        <v/>
      </c>
      <c r="C122" s="68" t="str">
        <f aca="false">IF(Costos!$A139="","",Costos!$C139&amp;"")</f>
        <v/>
      </c>
      <c r="D122" s="75" t="str">
        <f aca="false">IF(Costos!$A139="","",N(Costos!$K139))</f>
        <v/>
      </c>
      <c r="E122" s="69" t="str">
        <f aca="false">IF(Costos!$A139="","",N(Stock!$H125))</f>
        <v/>
      </c>
      <c r="F122" s="69" t="str">
        <f aca="false">IF(Costos!$A139="","",N(Stock!$E125)+IF(LEFT(Stock!$C125,6)="Anillo",0,N(Stock!$D125)))</f>
        <v/>
      </c>
      <c r="G122" s="69" t="str">
        <f aca="false">IF(Costos!$A139="","",N(Stock!$F125))</f>
        <v/>
      </c>
      <c r="H122" s="69" t="str">
        <f aca="false">IF(Costos!$A139="","",N(Stock!$G125))</f>
        <v/>
      </c>
      <c r="I122" s="42"/>
      <c r="J122" s="42"/>
      <c r="K122" s="76" t="str">
        <f aca="false">IF(Costos!$A139="","",N(Stock!$J125))</f>
        <v/>
      </c>
    </row>
    <row r="123" customFormat="false" ht="15.75" hidden="false" customHeight="true" outlineLevel="0" collapsed="false">
      <c r="A123" s="68" t="str">
        <f aca="false">IF(Costos!$A140="","",Costos!$A140)</f>
        <v/>
      </c>
      <c r="B123" s="68" t="str">
        <f aca="false">IF(Costos!$A140="","",Costos!$B140&amp;"")</f>
        <v/>
      </c>
      <c r="C123" s="68" t="str">
        <f aca="false">IF(Costos!$A140="","",Costos!$C140&amp;"")</f>
        <v/>
      </c>
      <c r="D123" s="75" t="str">
        <f aca="false">IF(Costos!$A140="","",N(Costos!$K140))</f>
        <v/>
      </c>
      <c r="E123" s="69" t="str">
        <f aca="false">IF(Costos!$A140="","",N(Stock!$H126))</f>
        <v/>
      </c>
      <c r="F123" s="69" t="str">
        <f aca="false">IF(Costos!$A140="","",N(Stock!$E126)+IF(LEFT(Stock!$C126,6)="Anillo",0,N(Stock!$D126)))</f>
        <v/>
      </c>
      <c r="G123" s="69" t="str">
        <f aca="false">IF(Costos!$A140="","",N(Stock!$F126))</f>
        <v/>
      </c>
      <c r="H123" s="69" t="str">
        <f aca="false">IF(Costos!$A140="","",N(Stock!$G126))</f>
        <v/>
      </c>
      <c r="I123" s="42"/>
      <c r="J123" s="42"/>
      <c r="K123" s="76" t="str">
        <f aca="false">IF(Costos!$A140="","",N(Stock!$J126))</f>
        <v/>
      </c>
    </row>
    <row r="124" customFormat="false" ht="15.75" hidden="false" customHeight="true" outlineLevel="0" collapsed="false">
      <c r="A124" s="68" t="str">
        <f aca="false">IF(Costos!$A141="","",Costos!$A141)</f>
        <v/>
      </c>
      <c r="B124" s="68" t="str">
        <f aca="false">IF(Costos!$A141="","",Costos!$B141&amp;"")</f>
        <v/>
      </c>
      <c r="C124" s="68" t="str">
        <f aca="false">IF(Costos!$A141="","",Costos!$C141&amp;"")</f>
        <v/>
      </c>
      <c r="D124" s="75" t="str">
        <f aca="false">IF(Costos!$A141="","",N(Costos!$K141))</f>
        <v/>
      </c>
      <c r="E124" s="69" t="str">
        <f aca="false">IF(Costos!$A141="","",N(Stock!$H127))</f>
        <v/>
      </c>
      <c r="F124" s="69" t="str">
        <f aca="false">IF(Costos!$A141="","",N(Stock!$E127)+IF(LEFT(Stock!$C127,6)="Anillo",0,N(Stock!$D127)))</f>
        <v/>
      </c>
      <c r="G124" s="69" t="str">
        <f aca="false">IF(Costos!$A141="","",N(Stock!$F127))</f>
        <v/>
      </c>
      <c r="H124" s="69" t="str">
        <f aca="false">IF(Costos!$A141="","",N(Stock!$G127))</f>
        <v/>
      </c>
      <c r="I124" s="42"/>
      <c r="J124" s="42"/>
      <c r="K124" s="76" t="str">
        <f aca="false">IF(Costos!$A141="","",N(Stock!$J127))</f>
        <v/>
      </c>
    </row>
    <row r="125" customFormat="false" ht="15.75" hidden="false" customHeight="true" outlineLevel="0" collapsed="false">
      <c r="A125" s="68" t="str">
        <f aca="false">IF(Costos!$A142="","",Costos!$A142)</f>
        <v/>
      </c>
      <c r="B125" s="68" t="str">
        <f aca="false">IF(Costos!$A142="","",Costos!$B142&amp;"")</f>
        <v/>
      </c>
      <c r="C125" s="68" t="str">
        <f aca="false">IF(Costos!$A142="","",Costos!$C142&amp;"")</f>
        <v/>
      </c>
      <c r="D125" s="75" t="str">
        <f aca="false">IF(Costos!$A142="","",N(Costos!$K142))</f>
        <v/>
      </c>
      <c r="E125" s="69" t="str">
        <f aca="false">IF(Costos!$A142="","",N(Stock!$H128))</f>
        <v/>
      </c>
      <c r="F125" s="69" t="str">
        <f aca="false">IF(Costos!$A142="","",N(Stock!$E128)+IF(LEFT(Stock!$C128,6)="Anillo",0,N(Stock!$D128)))</f>
        <v/>
      </c>
      <c r="G125" s="69" t="str">
        <f aca="false">IF(Costos!$A142="","",N(Stock!$F128))</f>
        <v/>
      </c>
      <c r="H125" s="69" t="str">
        <f aca="false">IF(Costos!$A142="","",N(Stock!$G128))</f>
        <v/>
      </c>
      <c r="I125" s="42"/>
      <c r="J125" s="42"/>
      <c r="K125" s="76" t="str">
        <f aca="false">IF(Costos!$A142="","",N(Stock!$J128))</f>
        <v/>
      </c>
    </row>
    <row r="126" customFormat="false" ht="15.75" hidden="false" customHeight="true" outlineLevel="0" collapsed="false">
      <c r="A126" s="68" t="str">
        <f aca="false">IF(Costos!$A143="","",Costos!$A143)</f>
        <v/>
      </c>
      <c r="B126" s="68" t="str">
        <f aca="false">IF(Costos!$A143="","",Costos!$B143&amp;"")</f>
        <v/>
      </c>
      <c r="C126" s="68" t="str">
        <f aca="false">IF(Costos!$A143="","",Costos!$C143&amp;"")</f>
        <v/>
      </c>
      <c r="D126" s="75" t="str">
        <f aca="false">IF(Costos!$A143="","",N(Costos!$K143))</f>
        <v/>
      </c>
      <c r="E126" s="69" t="str">
        <f aca="false">IF(Costos!$A143="","",N(Stock!$H129))</f>
        <v/>
      </c>
      <c r="F126" s="69" t="str">
        <f aca="false">IF(Costos!$A143="","",N(Stock!$E129)+IF(LEFT(Stock!$C129,6)="Anillo",0,N(Stock!$D129)))</f>
        <v/>
      </c>
      <c r="G126" s="69" t="str">
        <f aca="false">IF(Costos!$A143="","",N(Stock!$F129))</f>
        <v/>
      </c>
      <c r="H126" s="69" t="str">
        <f aca="false">IF(Costos!$A143="","",N(Stock!$G129))</f>
        <v/>
      </c>
      <c r="I126" s="42"/>
      <c r="J126" s="42"/>
      <c r="K126" s="76" t="str">
        <f aca="false">IF(Costos!$A143="","",N(Stock!$J129))</f>
        <v/>
      </c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customFormat="false" ht="15.75" hidden="false" customHeight="true" outlineLevel="0" collapsed="false">
      <c r="A129" s="71" t="s">
        <v>330</v>
      </c>
      <c r="B129" s="2"/>
      <c r="C129" s="2"/>
      <c r="D129" s="2"/>
      <c r="E129" s="2"/>
      <c r="F129" s="2"/>
      <c r="G129" s="2"/>
      <c r="H129" s="2"/>
      <c r="I129" s="2"/>
      <c r="J129" s="2"/>
    </row>
    <row r="130" customFormat="false" ht="15.75" hidden="false" customHeight="true" outlineLevel="0" collapsed="false">
      <c r="A130" s="72" t="s">
        <v>331</v>
      </c>
      <c r="B130" s="2"/>
      <c r="C130" s="2"/>
      <c r="D130" s="2"/>
      <c r="E130" s="2"/>
      <c r="F130" s="2"/>
      <c r="G130" s="2"/>
      <c r="H130" s="2"/>
      <c r="I130" s="2"/>
      <c r="J130" s="2"/>
    </row>
    <row r="131" customFormat="false" ht="15.75" hidden="false" customHeight="true" outlineLevel="0" collapsed="false">
      <c r="A131" s="72" t="s">
        <v>332</v>
      </c>
      <c r="B131" s="2"/>
      <c r="C131" s="2"/>
      <c r="D131" s="2"/>
      <c r="E131" s="2"/>
      <c r="F131" s="2"/>
      <c r="G131" s="2"/>
      <c r="H131" s="2"/>
      <c r="I131" s="2"/>
      <c r="J131" s="2"/>
    </row>
    <row r="132" customFormat="false" ht="15.75" hidden="false" customHeight="true" outlineLevel="0" collapsed="false">
      <c r="A132" s="72" t="s">
        <v>333</v>
      </c>
      <c r="B132" s="2"/>
      <c r="C132" s="2"/>
      <c r="D132" s="2"/>
      <c r="E132" s="2"/>
      <c r="F132" s="2"/>
      <c r="G132" s="2"/>
      <c r="H132" s="2"/>
      <c r="I132" s="2"/>
      <c r="J132" s="2"/>
    </row>
    <row r="133" customFormat="false" ht="15.75" hidden="false" customHeight="true" outlineLevel="0" collapsed="false">
      <c r="A133" s="72" t="s">
        <v>334</v>
      </c>
      <c r="B133" s="2"/>
      <c r="C133" s="2"/>
      <c r="D133" s="2"/>
      <c r="E133" s="2"/>
      <c r="F133" s="2"/>
      <c r="G133" s="2"/>
      <c r="H133" s="2"/>
      <c r="I133" s="2"/>
      <c r="J133" s="2"/>
    </row>
    <row r="134" customFormat="false" ht="15.75" hidden="false" customHeight="true" outlineLevel="0" collapsed="false">
      <c r="A134" s="72" t="s">
        <v>335</v>
      </c>
      <c r="B134" s="2"/>
      <c r="C134" s="2"/>
      <c r="D134" s="2"/>
      <c r="E134" s="2"/>
      <c r="F134" s="2"/>
      <c r="G134" s="2"/>
      <c r="H134" s="2"/>
      <c r="I134" s="2"/>
      <c r="J134" s="2"/>
    </row>
    <row r="135" customFormat="false" ht="15.75" hidden="false" customHeight="true" outlineLevel="0" collapsed="false">
      <c r="A135" s="72" t="s">
        <v>336</v>
      </c>
      <c r="B135" s="2"/>
      <c r="C135" s="2"/>
      <c r="D135" s="2"/>
      <c r="E135" s="2"/>
      <c r="F135" s="2"/>
      <c r="G135" s="2"/>
      <c r="H135" s="2"/>
      <c r="I135" s="2"/>
      <c r="J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0.13"/>
    <col collapsed="false" customWidth="true" hidden="false" outlineLevel="0" max="7" min="7" style="0" width="9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26"/>
    <col collapsed="false" customWidth="true" hidden="false" outlineLevel="0" max="14" min="14" style="0" width="3"/>
    <col collapsed="false" customWidth="true" hidden="false" outlineLevel="0" max="15" min="15" style="0" width="20"/>
    <col collapsed="false" customWidth="true" hidden="false" outlineLevel="0" max="16" min="16" style="0" width="14"/>
    <col collapsed="false" customWidth="true" hidden="false" outlineLevel="0" max="26" min="17" style="0" width="8.63"/>
  </cols>
  <sheetData>
    <row r="1" customFormat="false" ht="17.25" hidden="false" customHeight="true" outlineLevel="0" collapsed="false">
      <c r="A1" s="38" t="s">
        <v>337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</row>
    <row r="2" customFormat="false" ht="15" hidden="false" customHeight="true" outlineLevel="0" collapsed="false">
      <c r="A2" s="78" t="s">
        <v>338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</row>
    <row r="3" customFormat="false" ht="15" hidden="false" customHeight="true" outlineLevel="0" collapsed="false">
      <c r="A3" s="78" t="s">
        <v>339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</row>
    <row r="4" customFormat="false" ht="15" hidden="false" customHeight="false" outlineLevel="0" collapsed="false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</row>
    <row r="5" customFormat="false" ht="15" hidden="false" customHeight="true" outlineLevel="0" collapsed="false">
      <c r="A5" s="79" t="s">
        <v>340</v>
      </c>
      <c r="B5" s="80" t="s">
        <v>263</v>
      </c>
      <c r="C5" s="80" t="s">
        <v>341</v>
      </c>
      <c r="D5" s="80" t="s">
        <v>342</v>
      </c>
      <c r="E5" s="80" t="s">
        <v>36</v>
      </c>
      <c r="F5" s="80" t="s">
        <v>246</v>
      </c>
      <c r="G5" s="80" t="s">
        <v>247</v>
      </c>
      <c r="H5" s="80" t="s">
        <v>343</v>
      </c>
      <c r="I5" s="80" t="s">
        <v>344</v>
      </c>
      <c r="J5" s="81" t="s">
        <v>345</v>
      </c>
      <c r="K5" s="82" t="s">
        <v>316</v>
      </c>
      <c r="L5" s="82" t="s">
        <v>346</v>
      </c>
      <c r="M5" s="82" t="s">
        <v>8</v>
      </c>
      <c r="N5" s="77"/>
      <c r="O5" s="83" t="s">
        <v>347</v>
      </c>
      <c r="P5" s="77"/>
    </row>
    <row r="6" customFormat="false" ht="15" hidden="false" customHeight="true" outlineLevel="0" collapsed="false">
      <c r="A6" s="84" t="n">
        <v>46261</v>
      </c>
      <c r="B6" s="85" t="s">
        <v>348</v>
      </c>
      <c r="C6" s="85"/>
      <c r="D6" s="86" t="s">
        <v>127</v>
      </c>
      <c r="E6" s="86" t="s">
        <v>118</v>
      </c>
      <c r="F6" s="86" t="s">
        <v>251</v>
      </c>
      <c r="G6" s="85" t="n">
        <v>1</v>
      </c>
      <c r="H6" s="87" t="n">
        <f aca="false" t="array" ref="H6:H6">IF($D6="","",IFERROR(INDEX(Costos!$K$23:$K$122,MATCH($D6,Costos!$A$23:$A$122,0)),""))</f>
        <v>25000</v>
      </c>
      <c r="I6" s="88" t="n">
        <v>0</v>
      </c>
      <c r="J6" s="89" t="n">
        <f aca="false">IF($D6="","",N($H6)*MAX(1,N($G6))-N($I6))</f>
        <v>25000</v>
      </c>
      <c r="K6" s="90" t="s">
        <v>349</v>
      </c>
      <c r="L6" s="91"/>
      <c r="M6" s="90" t="s">
        <v>350</v>
      </c>
      <c r="N6" s="77"/>
      <c r="O6" s="92" t="s">
        <v>351</v>
      </c>
      <c r="P6" s="93" t="n">
        <f aca="false">COUNTIFS($D$6:$D$105,"&lt;&gt;",$K$6:$K$105,"&lt;&gt;Entregado",$K$6:$K$105,"&lt;&gt;Cancelado")</f>
        <v>6</v>
      </c>
    </row>
    <row r="7" customFormat="false" ht="15" hidden="false" customHeight="true" outlineLevel="0" collapsed="false">
      <c r="A7" s="84" t="n">
        <v>46261</v>
      </c>
      <c r="B7" s="85" t="s">
        <v>352</v>
      </c>
      <c r="C7" s="85"/>
      <c r="D7" s="86" t="s">
        <v>127</v>
      </c>
      <c r="E7" s="86" t="s">
        <v>118</v>
      </c>
      <c r="F7" s="86" t="s">
        <v>251</v>
      </c>
      <c r="G7" s="85" t="n">
        <v>1</v>
      </c>
      <c r="H7" s="87" t="n">
        <f aca="false" t="array" ref="H7:H7">IF($D7="","",IFERROR(INDEX(Costos!$K$23:$K$122,MATCH($D7,Costos!$A$23:$A$122,0)),""))</f>
        <v>25000</v>
      </c>
      <c r="I7" s="88" t="n">
        <v>0</v>
      </c>
      <c r="J7" s="89" t="n">
        <f aca="false">IF($D7="","",N($H7)*MAX(1,N($G7))-N($I7))</f>
        <v>25000</v>
      </c>
      <c r="K7" s="90" t="s">
        <v>349</v>
      </c>
      <c r="L7" s="91"/>
      <c r="M7" s="90" t="s">
        <v>350</v>
      </c>
      <c r="N7" s="77"/>
      <c r="O7" s="92" t="s">
        <v>353</v>
      </c>
      <c r="P7" s="89" t="n">
        <f aca="false">SUMIFS($I$6:$I$105,$K$6:$K$105,"&lt;&gt;Cancelado")</f>
        <v>0</v>
      </c>
    </row>
    <row r="8" customFormat="false" ht="15" hidden="false" customHeight="true" outlineLevel="0" collapsed="false">
      <c r="A8" s="84" t="n">
        <v>46261</v>
      </c>
      <c r="B8" s="85" t="s">
        <v>354</v>
      </c>
      <c r="C8" s="85"/>
      <c r="D8" s="86" t="s">
        <v>127</v>
      </c>
      <c r="E8" s="86" t="s">
        <v>118</v>
      </c>
      <c r="F8" s="86" t="s">
        <v>251</v>
      </c>
      <c r="G8" s="85" t="n">
        <v>1</v>
      </c>
      <c r="H8" s="87" t="n">
        <f aca="false" t="array" ref="H8:H8">IF($D8="","",IFERROR(INDEX(Costos!$K$23:$K$122,MATCH($D8,Costos!$A$23:$A$122,0)),""))</f>
        <v>25000</v>
      </c>
      <c r="I8" s="88"/>
      <c r="J8" s="89" t="n">
        <f aca="false">IF($D8="","",N($H8)*MAX(1,N($G8))-N($I8))</f>
        <v>25000</v>
      </c>
      <c r="K8" s="90" t="s">
        <v>349</v>
      </c>
      <c r="L8" s="91"/>
      <c r="M8" s="90" t="s">
        <v>355</v>
      </c>
      <c r="N8" s="77"/>
      <c r="O8" s="92" t="s">
        <v>356</v>
      </c>
      <c r="P8" s="89" t="n">
        <f aca="false">SUMIFS($J$6:$J$105,$K$6:$K$105,"&lt;&gt;Entregado",$K$6:$K$105,"&lt;&gt;Cancelado")</f>
        <v>126500</v>
      </c>
    </row>
    <row r="9" customFormat="false" ht="15" hidden="false" customHeight="true" outlineLevel="0" collapsed="false">
      <c r="A9" s="84" t="n">
        <v>46275</v>
      </c>
      <c r="B9" s="85" t="s">
        <v>357</v>
      </c>
      <c r="C9" s="85" t="s">
        <v>358</v>
      </c>
      <c r="D9" s="86" t="s">
        <v>105</v>
      </c>
      <c r="E9" s="86" t="s">
        <v>96</v>
      </c>
      <c r="F9" s="86" t="s">
        <v>251</v>
      </c>
      <c r="G9" s="85" t="n">
        <v>1</v>
      </c>
      <c r="H9" s="87" t="n">
        <f aca="false" t="array" ref="H9:H9">IF($D9="","",IFERROR(INDEX(Costos!$K$23:$K$122,MATCH($D9,Costos!$A$23:$A$122,0)),""))</f>
        <v>13000</v>
      </c>
      <c r="I9" s="88"/>
      <c r="J9" s="89" t="n">
        <f aca="false">IF($D9="","",N($H9)*MAX(1,N($G9))-N($I9))</f>
        <v>13000</v>
      </c>
      <c r="K9" s="90" t="s">
        <v>349</v>
      </c>
      <c r="L9" s="91"/>
      <c r="M9" s="90" t="s">
        <v>359</v>
      </c>
      <c r="N9" s="77"/>
      <c r="O9" s="92" t="s">
        <v>360</v>
      </c>
      <c r="P9" s="89" t="n">
        <f aca="false">SUMPRODUCT(($D$6:$D$105&lt;&gt;"")*($K$6:$K$105&lt;&gt;"Cancelado")*N($H$6:$H$105))</f>
        <v>126500</v>
      </c>
    </row>
    <row r="10" customFormat="false" ht="15" hidden="false" customHeight="true" outlineLevel="0" collapsed="false">
      <c r="A10" s="84" t="n">
        <v>46275</v>
      </c>
      <c r="B10" s="85" t="s">
        <v>357</v>
      </c>
      <c r="C10" s="85" t="s">
        <v>358</v>
      </c>
      <c r="D10" s="86" t="s">
        <v>94</v>
      </c>
      <c r="E10" s="86" t="s">
        <v>96</v>
      </c>
      <c r="F10" s="86" t="s">
        <v>251</v>
      </c>
      <c r="G10" s="85" t="n">
        <v>1</v>
      </c>
      <c r="H10" s="87" t="n">
        <f aca="false" t="array" ref="H10:H10">IF($D10="","",IFERROR(INDEX(Costos!$K$23:$K$122,MATCH($D10,Costos!$A$23:$A$122,0)),""))</f>
        <v>13000</v>
      </c>
      <c r="I10" s="88"/>
      <c r="J10" s="89" t="n">
        <f aca="false">IF($D10="","",N($H10)*MAX(1,N($G10))-N($I10))</f>
        <v>13000</v>
      </c>
      <c r="K10" s="90" t="s">
        <v>349</v>
      </c>
      <c r="L10" s="91"/>
      <c r="M10" s="90" t="s">
        <v>359</v>
      </c>
      <c r="N10" s="77"/>
      <c r="O10" s="77"/>
      <c r="P10" s="77"/>
    </row>
    <row r="11" customFormat="false" ht="15" hidden="false" customHeight="true" outlineLevel="0" collapsed="false">
      <c r="A11" s="84" t="n">
        <v>46276</v>
      </c>
      <c r="B11" s="85" t="s">
        <v>361</v>
      </c>
      <c r="C11" s="85"/>
      <c r="D11" s="86" t="s">
        <v>129</v>
      </c>
      <c r="E11" s="86" t="s">
        <v>118</v>
      </c>
      <c r="F11" s="86" t="s">
        <v>251</v>
      </c>
      <c r="G11" s="85" t="n">
        <v>1</v>
      </c>
      <c r="H11" s="87" t="n">
        <f aca="false" t="array" ref="H11:H11">IF($D11="","",IFERROR(INDEX(Costos!$K$23:$K$122,MATCH($D11,Costos!$A$23:$A$122,0)),""))</f>
        <v>25500</v>
      </c>
      <c r="I11" s="88"/>
      <c r="J11" s="89" t="n">
        <f aca="false">IF($D11="","",N($H11)*MAX(1,N($G11))-N($I11))</f>
        <v>25500</v>
      </c>
      <c r="K11" s="90" t="s">
        <v>349</v>
      </c>
      <c r="L11" s="91"/>
      <c r="M11" s="90"/>
      <c r="N11" s="77"/>
      <c r="O11" s="78" t="s">
        <v>362</v>
      </c>
      <c r="P11" s="77"/>
    </row>
    <row r="12" customFormat="false" ht="15" hidden="false" customHeight="true" outlineLevel="0" collapsed="false">
      <c r="A12" s="84"/>
      <c r="B12" s="85"/>
      <c r="C12" s="85"/>
      <c r="D12" s="86"/>
      <c r="E12" s="86"/>
      <c r="F12" s="86"/>
      <c r="G12" s="85"/>
      <c r="H12" s="87" t="str">
        <f aca="false" t="array" ref="H12:H12">IF($D12="","",IFERROR(INDEX(Costos!$K$23:$K$122,MATCH($D12,Costos!$A$23:$A$122,0)),""))</f>
        <v/>
      </c>
      <c r="I12" s="88"/>
      <c r="J12" s="89" t="str">
        <f aca="false">IF($D12="","",N($H12)*MAX(1,N($G12))-N($I12))</f>
        <v/>
      </c>
      <c r="K12" s="90"/>
      <c r="L12" s="91"/>
      <c r="M12" s="90"/>
      <c r="N12" s="77"/>
      <c r="O12" s="78" t="s">
        <v>363</v>
      </c>
      <c r="P12" s="77"/>
    </row>
    <row r="13" customFormat="false" ht="15" hidden="false" customHeight="true" outlineLevel="0" collapsed="false">
      <c r="A13" s="84"/>
      <c r="B13" s="85"/>
      <c r="C13" s="85"/>
      <c r="D13" s="86"/>
      <c r="E13" s="86"/>
      <c r="F13" s="86"/>
      <c r="G13" s="85"/>
      <c r="H13" s="87" t="str">
        <f aca="false" t="array" ref="H13:H13">IF($D13="","",IFERROR(INDEX(Costos!$K$23:$K$122,MATCH($D13,Costos!$A$23:$A$122,0)),""))</f>
        <v/>
      </c>
      <c r="I13" s="88"/>
      <c r="J13" s="89" t="str">
        <f aca="false">IF($D13="","",N($H13)*MAX(1,N($G13))-N($I13))</f>
        <v/>
      </c>
      <c r="K13" s="90"/>
      <c r="L13" s="91"/>
      <c r="M13" s="90"/>
      <c r="N13" s="77"/>
      <c r="O13" s="77"/>
      <c r="P13" s="77"/>
    </row>
    <row r="14" customFormat="false" ht="15" hidden="false" customHeight="true" outlineLevel="0" collapsed="false">
      <c r="A14" s="84"/>
      <c r="B14" s="85"/>
      <c r="C14" s="85"/>
      <c r="D14" s="86"/>
      <c r="E14" s="86"/>
      <c r="F14" s="86"/>
      <c r="G14" s="85"/>
      <c r="H14" s="87" t="str">
        <f aca="false" t="array" ref="H14:H14">IF($D14="","",IFERROR(INDEX(Costos!$K$23:$K$122,MATCH($D14,Costos!$A$23:$A$122,0)),""))</f>
        <v/>
      </c>
      <c r="I14" s="88"/>
      <c r="J14" s="89" t="str">
        <f aca="false">IF($D14="","",N($H14)*MAX(1,N($G14))-N($I14))</f>
        <v/>
      </c>
      <c r="K14" s="90"/>
      <c r="L14" s="91"/>
      <c r="M14" s="90"/>
      <c r="N14" s="77"/>
      <c r="O14" s="77"/>
      <c r="P14" s="77"/>
    </row>
    <row r="15" customFormat="false" ht="15" hidden="false" customHeight="true" outlineLevel="0" collapsed="false">
      <c r="A15" s="84"/>
      <c r="B15" s="85"/>
      <c r="C15" s="85"/>
      <c r="D15" s="86"/>
      <c r="E15" s="86"/>
      <c r="F15" s="86"/>
      <c r="G15" s="85"/>
      <c r="H15" s="87" t="str">
        <f aca="false" t="array" ref="H15:H15">IF($D15="","",IFERROR(INDEX(Costos!$K$23:$K$122,MATCH($D15,Costos!$A$23:$A$122,0)),""))</f>
        <v/>
      </c>
      <c r="I15" s="88"/>
      <c r="J15" s="89" t="str">
        <f aca="false">IF($D15="","",N($H15)*MAX(1,N($G15))-N($I15))</f>
        <v/>
      </c>
      <c r="K15" s="90"/>
      <c r="L15" s="91"/>
      <c r="M15" s="90"/>
      <c r="N15" s="77"/>
      <c r="O15" s="77"/>
      <c r="P15" s="77"/>
    </row>
    <row r="16" customFormat="false" ht="15" hidden="false" customHeight="true" outlineLevel="0" collapsed="false">
      <c r="A16" s="84"/>
      <c r="B16" s="85"/>
      <c r="C16" s="85"/>
      <c r="D16" s="86"/>
      <c r="E16" s="86"/>
      <c r="F16" s="86"/>
      <c r="G16" s="85"/>
      <c r="H16" s="87" t="str">
        <f aca="false" t="array" ref="H16:H16">IF($D16="","",IFERROR(INDEX(Costos!$K$23:$K$122,MATCH($D16,Costos!$A$23:$A$122,0)),""))</f>
        <v/>
      </c>
      <c r="I16" s="88"/>
      <c r="J16" s="89" t="str">
        <f aca="false">IF($D16="","",N($H16)*MAX(1,N($G16))-N($I16))</f>
        <v/>
      </c>
      <c r="K16" s="90"/>
      <c r="L16" s="91"/>
      <c r="M16" s="90"/>
      <c r="N16" s="77"/>
      <c r="O16" s="77"/>
      <c r="P16" s="77"/>
    </row>
    <row r="17" customFormat="false" ht="15" hidden="false" customHeight="true" outlineLevel="0" collapsed="false">
      <c r="A17" s="84"/>
      <c r="B17" s="85"/>
      <c r="C17" s="85"/>
      <c r="D17" s="86"/>
      <c r="E17" s="86"/>
      <c r="F17" s="86"/>
      <c r="G17" s="85"/>
      <c r="H17" s="87" t="str">
        <f aca="false" t="array" ref="H17:H17">IF($D17="","",IFERROR(INDEX(Costos!$K$23:$K$122,MATCH($D17,Costos!$A$23:$A$122,0)),""))</f>
        <v/>
      </c>
      <c r="I17" s="88"/>
      <c r="J17" s="89" t="str">
        <f aca="false">IF($D17="","",N($H17)*MAX(1,N($G17))-N($I17))</f>
        <v/>
      </c>
      <c r="K17" s="90"/>
      <c r="L17" s="91"/>
      <c r="M17" s="90"/>
      <c r="N17" s="77"/>
      <c r="O17" s="77"/>
      <c r="P17" s="77"/>
    </row>
    <row r="18" customFormat="false" ht="15" hidden="false" customHeight="true" outlineLevel="0" collapsed="false">
      <c r="A18" s="84"/>
      <c r="B18" s="85"/>
      <c r="C18" s="85"/>
      <c r="D18" s="86"/>
      <c r="E18" s="86"/>
      <c r="F18" s="86"/>
      <c r="G18" s="85"/>
      <c r="H18" s="87" t="str">
        <f aca="false" t="array" ref="H18:H18">IF($D18="","",IFERROR(INDEX(Costos!$K$23:$K$122,MATCH($D18,Costos!$A$23:$A$122,0)),""))</f>
        <v/>
      </c>
      <c r="I18" s="88"/>
      <c r="J18" s="89" t="str">
        <f aca="false">IF($D18="","",N($H18)*MAX(1,N($G18))-N($I18))</f>
        <v/>
      </c>
      <c r="K18" s="90"/>
      <c r="L18" s="91"/>
      <c r="M18" s="90"/>
      <c r="N18" s="77"/>
      <c r="O18" s="77"/>
      <c r="P18" s="77"/>
    </row>
    <row r="19" customFormat="false" ht="15" hidden="false" customHeight="true" outlineLevel="0" collapsed="false">
      <c r="A19" s="84"/>
      <c r="B19" s="85"/>
      <c r="C19" s="85"/>
      <c r="D19" s="86"/>
      <c r="E19" s="86"/>
      <c r="F19" s="86"/>
      <c r="G19" s="85"/>
      <c r="H19" s="87" t="str">
        <f aca="false" t="array" ref="H19:H19">IF($D19="","",IFERROR(INDEX(Costos!$K$23:$K$122,MATCH($D19,Costos!$A$23:$A$122,0)),""))</f>
        <v/>
      </c>
      <c r="I19" s="88"/>
      <c r="J19" s="89" t="str">
        <f aca="false">IF($D19="","",N($H19)*MAX(1,N($G19))-N($I19))</f>
        <v/>
      </c>
      <c r="K19" s="90"/>
      <c r="L19" s="91"/>
      <c r="M19" s="90"/>
      <c r="N19" s="77"/>
      <c r="O19" s="77"/>
      <c r="P19" s="77"/>
    </row>
    <row r="20" customFormat="false" ht="15" hidden="false" customHeight="true" outlineLevel="0" collapsed="false">
      <c r="A20" s="84"/>
      <c r="B20" s="85"/>
      <c r="C20" s="85"/>
      <c r="D20" s="86"/>
      <c r="E20" s="86"/>
      <c r="F20" s="86"/>
      <c r="G20" s="85"/>
      <c r="H20" s="87" t="str">
        <f aca="false" t="array" ref="H20:H20">IF($D20="","",IFERROR(INDEX(Costos!$K$23:$K$122,MATCH($D20,Costos!$A$23:$A$122,0)),""))</f>
        <v/>
      </c>
      <c r="I20" s="88"/>
      <c r="J20" s="89" t="str">
        <f aca="false">IF($D20="","",N($H20)*MAX(1,N($G20))-N($I20))</f>
        <v/>
      </c>
      <c r="K20" s="90"/>
      <c r="L20" s="91"/>
      <c r="M20" s="90"/>
      <c r="N20" s="77"/>
      <c r="O20" s="77"/>
      <c r="P20" s="77"/>
    </row>
    <row r="21" customFormat="false" ht="15" hidden="false" customHeight="true" outlineLevel="0" collapsed="false">
      <c r="A21" s="84"/>
      <c r="B21" s="85"/>
      <c r="C21" s="85"/>
      <c r="D21" s="86"/>
      <c r="E21" s="86"/>
      <c r="F21" s="86"/>
      <c r="G21" s="85"/>
      <c r="H21" s="87" t="str">
        <f aca="false" t="array" ref="H21:H21">IF($D21="","",IFERROR(INDEX(Costos!$K$23:$K$122,MATCH($D21,Costos!$A$23:$A$122,0)),""))</f>
        <v/>
      </c>
      <c r="I21" s="88"/>
      <c r="J21" s="89" t="str">
        <f aca="false">IF($D21="","",N($H21)*MAX(1,N($G21))-N($I21))</f>
        <v/>
      </c>
      <c r="K21" s="90"/>
      <c r="L21" s="91"/>
      <c r="M21" s="90"/>
      <c r="N21" s="77"/>
      <c r="O21" s="77"/>
      <c r="P21" s="77"/>
    </row>
    <row r="22" customFormat="false" ht="15" hidden="false" customHeight="true" outlineLevel="0" collapsed="false">
      <c r="A22" s="84"/>
      <c r="B22" s="85"/>
      <c r="C22" s="85"/>
      <c r="D22" s="86"/>
      <c r="E22" s="86"/>
      <c r="F22" s="86"/>
      <c r="G22" s="85"/>
      <c r="H22" s="87" t="str">
        <f aca="false" t="array" ref="H22:H22">IF($D22="","",IFERROR(INDEX(Costos!$K$23:$K$122,MATCH($D22,Costos!$A$23:$A$122,0)),""))</f>
        <v/>
      </c>
      <c r="I22" s="88"/>
      <c r="J22" s="89" t="str">
        <f aca="false">IF($D22="","",N($H22)*MAX(1,N($G22))-N($I22))</f>
        <v/>
      </c>
      <c r="K22" s="90"/>
      <c r="L22" s="91"/>
      <c r="M22" s="90"/>
      <c r="N22" s="77"/>
      <c r="O22" s="77"/>
      <c r="P22" s="77"/>
    </row>
    <row r="23" customFormat="false" ht="15" hidden="false" customHeight="true" outlineLevel="0" collapsed="false">
      <c r="A23" s="84"/>
      <c r="B23" s="85"/>
      <c r="C23" s="85"/>
      <c r="D23" s="86"/>
      <c r="E23" s="86"/>
      <c r="F23" s="86"/>
      <c r="G23" s="85"/>
      <c r="H23" s="87" t="str">
        <f aca="false" t="array" ref="H23:H23">IF($D23="","",IFERROR(INDEX(Costos!$K$23:$K$122,MATCH($D23,Costos!$A$23:$A$122,0)),""))</f>
        <v/>
      </c>
      <c r="I23" s="88"/>
      <c r="J23" s="89" t="str">
        <f aca="false">IF($D23="","",N($H23)*MAX(1,N($G23))-N($I23))</f>
        <v/>
      </c>
      <c r="K23" s="90"/>
      <c r="L23" s="91"/>
      <c r="M23" s="90"/>
      <c r="N23" s="77"/>
      <c r="O23" s="77"/>
      <c r="P23" s="77"/>
    </row>
    <row r="24" customFormat="false" ht="15" hidden="false" customHeight="true" outlineLevel="0" collapsed="false">
      <c r="A24" s="84"/>
      <c r="B24" s="85"/>
      <c r="C24" s="85"/>
      <c r="D24" s="86"/>
      <c r="E24" s="86"/>
      <c r="F24" s="86"/>
      <c r="G24" s="85"/>
      <c r="H24" s="87" t="str">
        <f aca="false" t="array" ref="H24:H24">IF($D24="","",IFERROR(INDEX(Costos!$K$23:$K$122,MATCH($D24,Costos!$A$23:$A$122,0)),""))</f>
        <v/>
      </c>
      <c r="I24" s="88"/>
      <c r="J24" s="89" t="str">
        <f aca="false">IF($D24="","",N($H24)*MAX(1,N($G24))-N($I24))</f>
        <v/>
      </c>
      <c r="K24" s="90"/>
      <c r="L24" s="91"/>
      <c r="M24" s="90"/>
      <c r="N24" s="77"/>
      <c r="O24" s="77"/>
      <c r="P24" s="77"/>
    </row>
    <row r="25" customFormat="false" ht="15" hidden="false" customHeight="true" outlineLevel="0" collapsed="false">
      <c r="A25" s="84"/>
      <c r="B25" s="85"/>
      <c r="C25" s="85"/>
      <c r="D25" s="86"/>
      <c r="E25" s="86"/>
      <c r="F25" s="86"/>
      <c r="G25" s="85"/>
      <c r="H25" s="87" t="str">
        <f aca="false" t="array" ref="H25:H25">IF($D25="","",IFERROR(INDEX(Costos!$K$23:$K$122,MATCH($D25,Costos!$A$23:$A$122,0)),""))</f>
        <v/>
      </c>
      <c r="I25" s="88"/>
      <c r="J25" s="89" t="str">
        <f aca="false">IF($D25="","",N($H25)*MAX(1,N($G25))-N($I25))</f>
        <v/>
      </c>
      <c r="K25" s="90"/>
      <c r="L25" s="91"/>
      <c r="M25" s="90"/>
      <c r="N25" s="77"/>
      <c r="O25" s="77"/>
      <c r="P25" s="77"/>
    </row>
    <row r="26" customFormat="false" ht="15" hidden="false" customHeight="true" outlineLevel="0" collapsed="false">
      <c r="A26" s="84"/>
      <c r="B26" s="85"/>
      <c r="C26" s="85"/>
      <c r="D26" s="86"/>
      <c r="E26" s="86"/>
      <c r="F26" s="86"/>
      <c r="G26" s="85"/>
      <c r="H26" s="87" t="str">
        <f aca="false" t="array" ref="H26:H26">IF($D26="","",IFERROR(INDEX(Costos!$K$23:$K$122,MATCH($D26,Costos!$A$23:$A$122,0)),""))</f>
        <v/>
      </c>
      <c r="I26" s="88"/>
      <c r="J26" s="89" t="str">
        <f aca="false">IF($D26="","",N($H26)*MAX(1,N($G26))-N($I26))</f>
        <v/>
      </c>
      <c r="K26" s="90"/>
      <c r="L26" s="91"/>
      <c r="M26" s="90"/>
      <c r="N26" s="77"/>
      <c r="O26" s="77"/>
      <c r="P26" s="77"/>
    </row>
    <row r="27" customFormat="false" ht="15" hidden="false" customHeight="true" outlineLevel="0" collapsed="false">
      <c r="A27" s="84"/>
      <c r="B27" s="85"/>
      <c r="C27" s="85"/>
      <c r="D27" s="86"/>
      <c r="E27" s="86"/>
      <c r="F27" s="86"/>
      <c r="G27" s="85"/>
      <c r="H27" s="87" t="str">
        <f aca="false" t="array" ref="H27:H27">IF($D27="","",IFERROR(INDEX(Costos!$K$23:$K$122,MATCH($D27,Costos!$A$23:$A$122,0)),""))</f>
        <v/>
      </c>
      <c r="I27" s="88"/>
      <c r="J27" s="89" t="str">
        <f aca="false">IF($D27="","",N($H27)*MAX(1,N($G27))-N($I27))</f>
        <v/>
      </c>
      <c r="K27" s="90"/>
      <c r="L27" s="91"/>
      <c r="M27" s="90"/>
      <c r="N27" s="77"/>
      <c r="O27" s="77"/>
      <c r="P27" s="77"/>
    </row>
    <row r="28" customFormat="false" ht="15" hidden="false" customHeight="true" outlineLevel="0" collapsed="false">
      <c r="A28" s="84"/>
      <c r="B28" s="85"/>
      <c r="C28" s="85"/>
      <c r="D28" s="86"/>
      <c r="E28" s="86"/>
      <c r="F28" s="86"/>
      <c r="G28" s="85"/>
      <c r="H28" s="87" t="str">
        <f aca="false" t="array" ref="H28:H28">IF($D28="","",IFERROR(INDEX(Costos!$K$23:$K$122,MATCH($D28,Costos!$A$23:$A$122,0)),""))</f>
        <v/>
      </c>
      <c r="I28" s="88"/>
      <c r="J28" s="89" t="str">
        <f aca="false">IF($D28="","",N($H28)*MAX(1,N($G28))-N($I28))</f>
        <v/>
      </c>
      <c r="K28" s="90"/>
      <c r="L28" s="91"/>
      <c r="M28" s="90"/>
      <c r="N28" s="77"/>
      <c r="O28" s="77"/>
      <c r="P28" s="77"/>
    </row>
    <row r="29" customFormat="false" ht="15" hidden="false" customHeight="true" outlineLevel="0" collapsed="false">
      <c r="A29" s="84"/>
      <c r="B29" s="85"/>
      <c r="C29" s="85"/>
      <c r="D29" s="86"/>
      <c r="E29" s="86"/>
      <c r="F29" s="86"/>
      <c r="G29" s="85"/>
      <c r="H29" s="87" t="str">
        <f aca="false" t="array" ref="H29:H29">IF($D29="","",IFERROR(INDEX(Costos!$K$23:$K$122,MATCH($D29,Costos!$A$23:$A$122,0)),""))</f>
        <v/>
      </c>
      <c r="I29" s="88"/>
      <c r="J29" s="89" t="str">
        <f aca="false">IF($D29="","",N($H29)*MAX(1,N($G29))-N($I29))</f>
        <v/>
      </c>
      <c r="K29" s="90"/>
      <c r="L29" s="91"/>
      <c r="M29" s="90"/>
      <c r="N29" s="77"/>
      <c r="O29" s="77"/>
      <c r="P29" s="77"/>
    </row>
    <row r="30" customFormat="false" ht="15" hidden="false" customHeight="true" outlineLevel="0" collapsed="false">
      <c r="A30" s="84"/>
      <c r="B30" s="85"/>
      <c r="C30" s="85"/>
      <c r="D30" s="86"/>
      <c r="E30" s="86"/>
      <c r="F30" s="86"/>
      <c r="G30" s="85"/>
      <c r="H30" s="87" t="str">
        <f aca="false" t="array" ref="H30:H30">IF($D30="","",IFERROR(INDEX(Costos!$K$23:$K$122,MATCH($D30,Costos!$A$23:$A$122,0)),""))</f>
        <v/>
      </c>
      <c r="I30" s="88"/>
      <c r="J30" s="89" t="str">
        <f aca="false">IF($D30="","",N($H30)*MAX(1,N($G30))-N($I30))</f>
        <v/>
      </c>
      <c r="K30" s="90"/>
      <c r="L30" s="91"/>
      <c r="M30" s="90"/>
      <c r="N30" s="77"/>
      <c r="O30" s="77"/>
      <c r="P30" s="77"/>
    </row>
    <row r="31" customFormat="false" ht="15" hidden="false" customHeight="true" outlineLevel="0" collapsed="false">
      <c r="A31" s="84"/>
      <c r="B31" s="85"/>
      <c r="C31" s="85"/>
      <c r="D31" s="86"/>
      <c r="E31" s="86"/>
      <c r="F31" s="86"/>
      <c r="G31" s="85"/>
      <c r="H31" s="87" t="str">
        <f aca="false" t="array" ref="H31:H31">IF($D31="","",IFERROR(INDEX(Costos!$K$23:$K$122,MATCH($D31,Costos!$A$23:$A$122,0)),""))</f>
        <v/>
      </c>
      <c r="I31" s="88"/>
      <c r="J31" s="89" t="str">
        <f aca="false">IF($D31="","",N($H31)*MAX(1,N($G31))-N($I31))</f>
        <v/>
      </c>
      <c r="K31" s="90"/>
      <c r="L31" s="91"/>
      <c r="M31" s="90"/>
      <c r="N31" s="77"/>
      <c r="O31" s="77"/>
      <c r="P31" s="77"/>
    </row>
    <row r="32" customFormat="false" ht="15" hidden="false" customHeight="true" outlineLevel="0" collapsed="false">
      <c r="A32" s="84"/>
      <c r="B32" s="85"/>
      <c r="C32" s="85"/>
      <c r="D32" s="86"/>
      <c r="E32" s="86"/>
      <c r="F32" s="86"/>
      <c r="G32" s="85"/>
      <c r="H32" s="87" t="str">
        <f aca="false" t="array" ref="H32:H32">IF($D32="","",IFERROR(INDEX(Costos!$K$23:$K$122,MATCH($D32,Costos!$A$23:$A$122,0)),""))</f>
        <v/>
      </c>
      <c r="I32" s="88"/>
      <c r="J32" s="89" t="str">
        <f aca="false">IF($D32="","",N($H32)*MAX(1,N($G32))-N($I32))</f>
        <v/>
      </c>
      <c r="K32" s="90"/>
      <c r="L32" s="91"/>
      <c r="M32" s="90"/>
      <c r="N32" s="77"/>
      <c r="O32" s="77"/>
      <c r="P32" s="77"/>
    </row>
    <row r="33" customFormat="false" ht="15" hidden="false" customHeight="true" outlineLevel="0" collapsed="false">
      <c r="A33" s="84"/>
      <c r="B33" s="85"/>
      <c r="C33" s="85"/>
      <c r="D33" s="86"/>
      <c r="E33" s="86"/>
      <c r="F33" s="86"/>
      <c r="G33" s="85"/>
      <c r="H33" s="87" t="str">
        <f aca="false" t="array" ref="H33:H33">IF($D33="","",IFERROR(INDEX(Costos!$K$23:$K$122,MATCH($D33,Costos!$A$23:$A$122,0)),""))</f>
        <v/>
      </c>
      <c r="I33" s="88"/>
      <c r="J33" s="89" t="str">
        <f aca="false">IF($D33="","",N($H33)*MAX(1,N($G33))-N($I33))</f>
        <v/>
      </c>
      <c r="K33" s="90"/>
      <c r="L33" s="91"/>
      <c r="M33" s="90"/>
      <c r="N33" s="77"/>
      <c r="O33" s="77"/>
      <c r="P33" s="77"/>
    </row>
    <row r="34" customFormat="false" ht="15" hidden="false" customHeight="true" outlineLevel="0" collapsed="false">
      <c r="A34" s="84"/>
      <c r="B34" s="85"/>
      <c r="C34" s="85"/>
      <c r="D34" s="86"/>
      <c r="E34" s="86"/>
      <c r="F34" s="86"/>
      <c r="G34" s="85"/>
      <c r="H34" s="87" t="str">
        <f aca="false" t="array" ref="H34:H34">IF($D34="","",IFERROR(INDEX(Costos!$K$23:$K$122,MATCH($D34,Costos!$A$23:$A$122,0)),""))</f>
        <v/>
      </c>
      <c r="I34" s="88"/>
      <c r="J34" s="89" t="str">
        <f aca="false">IF($D34="","",N($H34)*MAX(1,N($G34))-N($I34))</f>
        <v/>
      </c>
      <c r="K34" s="90"/>
      <c r="L34" s="91"/>
      <c r="M34" s="90"/>
      <c r="N34" s="77"/>
      <c r="O34" s="77"/>
      <c r="P34" s="77"/>
    </row>
    <row r="35" customFormat="false" ht="15" hidden="false" customHeight="true" outlineLevel="0" collapsed="false">
      <c r="A35" s="84"/>
      <c r="B35" s="85"/>
      <c r="C35" s="85"/>
      <c r="D35" s="86"/>
      <c r="E35" s="86"/>
      <c r="F35" s="86"/>
      <c r="G35" s="85"/>
      <c r="H35" s="87" t="str">
        <f aca="false" t="array" ref="H35:H35">IF($D35="","",IFERROR(INDEX(Costos!$K$23:$K$122,MATCH($D35,Costos!$A$23:$A$122,0)),""))</f>
        <v/>
      </c>
      <c r="I35" s="88"/>
      <c r="J35" s="89" t="str">
        <f aca="false">IF($D35="","",N($H35)*MAX(1,N($G35))-N($I35))</f>
        <v/>
      </c>
      <c r="K35" s="90"/>
      <c r="L35" s="91"/>
      <c r="M35" s="90"/>
      <c r="N35" s="77"/>
      <c r="O35" s="77"/>
      <c r="P35" s="77"/>
    </row>
    <row r="36" customFormat="false" ht="15" hidden="false" customHeight="true" outlineLevel="0" collapsed="false">
      <c r="A36" s="84"/>
      <c r="B36" s="85"/>
      <c r="C36" s="85"/>
      <c r="D36" s="86"/>
      <c r="E36" s="86"/>
      <c r="F36" s="86"/>
      <c r="G36" s="85"/>
      <c r="H36" s="87" t="str">
        <f aca="false" t="array" ref="H36:H36">IF($D36="","",IFERROR(INDEX(Costos!$K$23:$K$122,MATCH($D36,Costos!$A$23:$A$122,0)),""))</f>
        <v/>
      </c>
      <c r="I36" s="88"/>
      <c r="J36" s="89" t="str">
        <f aca="false">IF($D36="","",N($H36)*MAX(1,N($G36))-N($I36))</f>
        <v/>
      </c>
      <c r="K36" s="90"/>
      <c r="L36" s="91"/>
      <c r="M36" s="90"/>
      <c r="N36" s="77"/>
      <c r="O36" s="77"/>
      <c r="P36" s="77"/>
    </row>
    <row r="37" customFormat="false" ht="15" hidden="false" customHeight="true" outlineLevel="0" collapsed="false">
      <c r="A37" s="84"/>
      <c r="B37" s="85"/>
      <c r="C37" s="85"/>
      <c r="D37" s="86"/>
      <c r="E37" s="86"/>
      <c r="F37" s="86"/>
      <c r="G37" s="85"/>
      <c r="H37" s="87" t="str">
        <f aca="false" t="array" ref="H37:H37">IF($D37="","",IFERROR(INDEX(Costos!$K$23:$K$122,MATCH($D37,Costos!$A$23:$A$122,0)),""))</f>
        <v/>
      </c>
      <c r="I37" s="88"/>
      <c r="J37" s="89" t="str">
        <f aca="false">IF($D37="","",N($H37)*MAX(1,N($G37))-N($I37))</f>
        <v/>
      </c>
      <c r="K37" s="90"/>
      <c r="L37" s="91"/>
      <c r="M37" s="90"/>
      <c r="N37" s="77"/>
      <c r="O37" s="77"/>
      <c r="P37" s="77"/>
    </row>
    <row r="38" customFormat="false" ht="15" hidden="false" customHeight="true" outlineLevel="0" collapsed="false">
      <c r="A38" s="84"/>
      <c r="B38" s="85"/>
      <c r="C38" s="85"/>
      <c r="D38" s="86"/>
      <c r="E38" s="86"/>
      <c r="F38" s="86"/>
      <c r="G38" s="85"/>
      <c r="H38" s="87" t="str">
        <f aca="false" t="array" ref="H38:H38">IF($D38="","",IFERROR(INDEX(Costos!$K$23:$K$122,MATCH($D38,Costos!$A$23:$A$122,0)),""))</f>
        <v/>
      </c>
      <c r="I38" s="88"/>
      <c r="J38" s="89" t="str">
        <f aca="false">IF($D38="","",N($H38)*MAX(1,N($G38))-N($I38))</f>
        <v/>
      </c>
      <c r="K38" s="90"/>
      <c r="L38" s="91"/>
      <c r="M38" s="90"/>
      <c r="N38" s="77"/>
      <c r="O38" s="77"/>
      <c r="P38" s="77"/>
    </row>
    <row r="39" customFormat="false" ht="15" hidden="false" customHeight="true" outlineLevel="0" collapsed="false">
      <c r="A39" s="84"/>
      <c r="B39" s="85"/>
      <c r="C39" s="85"/>
      <c r="D39" s="86"/>
      <c r="E39" s="86"/>
      <c r="F39" s="86"/>
      <c r="G39" s="85"/>
      <c r="H39" s="87" t="str">
        <f aca="false" t="array" ref="H39:H39">IF($D39="","",IFERROR(INDEX(Costos!$K$23:$K$122,MATCH($D39,Costos!$A$23:$A$122,0)),""))</f>
        <v/>
      </c>
      <c r="I39" s="88"/>
      <c r="J39" s="89" t="str">
        <f aca="false">IF($D39="","",N($H39)*MAX(1,N($G39))-N($I39))</f>
        <v/>
      </c>
      <c r="K39" s="90"/>
      <c r="L39" s="91"/>
      <c r="M39" s="90"/>
      <c r="N39" s="77"/>
      <c r="O39" s="77"/>
      <c r="P39" s="77"/>
    </row>
    <row r="40" customFormat="false" ht="15" hidden="false" customHeight="true" outlineLevel="0" collapsed="false">
      <c r="A40" s="84"/>
      <c r="B40" s="85"/>
      <c r="C40" s="85"/>
      <c r="D40" s="86"/>
      <c r="E40" s="86"/>
      <c r="F40" s="86"/>
      <c r="G40" s="85"/>
      <c r="H40" s="87" t="str">
        <f aca="false" t="array" ref="H40:H40">IF($D40="","",IFERROR(INDEX(Costos!$K$23:$K$122,MATCH($D40,Costos!$A$23:$A$122,0)),""))</f>
        <v/>
      </c>
      <c r="I40" s="88"/>
      <c r="J40" s="89" t="str">
        <f aca="false">IF($D40="","",N($H40)*MAX(1,N($G40))-N($I40))</f>
        <v/>
      </c>
      <c r="K40" s="90"/>
      <c r="L40" s="91"/>
      <c r="M40" s="90"/>
      <c r="N40" s="77"/>
      <c r="O40" s="77"/>
      <c r="P40" s="77"/>
    </row>
    <row r="41" customFormat="false" ht="15" hidden="false" customHeight="true" outlineLevel="0" collapsed="false">
      <c r="A41" s="84"/>
      <c r="B41" s="85"/>
      <c r="C41" s="85"/>
      <c r="D41" s="86"/>
      <c r="E41" s="86"/>
      <c r="F41" s="86"/>
      <c r="G41" s="85"/>
      <c r="H41" s="87" t="str">
        <f aca="false" t="array" ref="H41:H41">IF($D41="","",IFERROR(INDEX(Costos!$K$23:$K$122,MATCH($D41,Costos!$A$23:$A$122,0)),""))</f>
        <v/>
      </c>
      <c r="I41" s="88"/>
      <c r="J41" s="89" t="str">
        <f aca="false">IF($D41="","",N($H41)*MAX(1,N($G41))-N($I41))</f>
        <v/>
      </c>
      <c r="K41" s="90"/>
      <c r="L41" s="91"/>
      <c r="M41" s="90"/>
      <c r="N41" s="77"/>
      <c r="O41" s="77"/>
      <c r="P41" s="77"/>
    </row>
    <row r="42" customFormat="false" ht="15" hidden="false" customHeight="true" outlineLevel="0" collapsed="false">
      <c r="A42" s="84"/>
      <c r="B42" s="85"/>
      <c r="C42" s="85"/>
      <c r="D42" s="86"/>
      <c r="E42" s="86"/>
      <c r="F42" s="86"/>
      <c r="G42" s="85"/>
      <c r="H42" s="87" t="str">
        <f aca="false" t="array" ref="H42:H42">IF($D42="","",IFERROR(INDEX(Costos!$K$23:$K$122,MATCH($D42,Costos!$A$23:$A$122,0)),""))</f>
        <v/>
      </c>
      <c r="I42" s="88"/>
      <c r="J42" s="89" t="str">
        <f aca="false">IF($D42="","",N($H42)*MAX(1,N($G42))-N($I42))</f>
        <v/>
      </c>
      <c r="K42" s="90"/>
      <c r="L42" s="91"/>
      <c r="M42" s="90"/>
      <c r="N42" s="77"/>
      <c r="O42" s="77"/>
      <c r="P42" s="77"/>
    </row>
    <row r="43" customFormat="false" ht="15" hidden="false" customHeight="true" outlineLevel="0" collapsed="false">
      <c r="A43" s="84"/>
      <c r="B43" s="85"/>
      <c r="C43" s="85"/>
      <c r="D43" s="86"/>
      <c r="E43" s="86"/>
      <c r="F43" s="86"/>
      <c r="G43" s="85"/>
      <c r="H43" s="87" t="str">
        <f aca="false" t="array" ref="H43:H43">IF($D43="","",IFERROR(INDEX(Costos!$K$23:$K$122,MATCH($D43,Costos!$A$23:$A$122,0)),""))</f>
        <v/>
      </c>
      <c r="I43" s="88"/>
      <c r="J43" s="89" t="str">
        <f aca="false">IF($D43="","",N($H43)*MAX(1,N($G43))-N($I43))</f>
        <v/>
      </c>
      <c r="K43" s="90"/>
      <c r="L43" s="91"/>
      <c r="M43" s="90"/>
      <c r="N43" s="77"/>
      <c r="O43" s="77"/>
      <c r="P43" s="77"/>
    </row>
    <row r="44" customFormat="false" ht="15" hidden="false" customHeight="true" outlineLevel="0" collapsed="false">
      <c r="A44" s="84"/>
      <c r="B44" s="85"/>
      <c r="C44" s="85"/>
      <c r="D44" s="86"/>
      <c r="E44" s="86"/>
      <c r="F44" s="86"/>
      <c r="G44" s="85"/>
      <c r="H44" s="87" t="str">
        <f aca="false" t="array" ref="H44:H44">IF($D44="","",IFERROR(INDEX(Costos!$K$23:$K$122,MATCH($D44,Costos!$A$23:$A$122,0)),""))</f>
        <v/>
      </c>
      <c r="I44" s="88"/>
      <c r="J44" s="89" t="str">
        <f aca="false">IF($D44="","",N($H44)*MAX(1,N($G44))-N($I44))</f>
        <v/>
      </c>
      <c r="K44" s="90"/>
      <c r="L44" s="91"/>
      <c r="M44" s="90"/>
      <c r="N44" s="77"/>
      <c r="O44" s="77"/>
      <c r="P44" s="77"/>
    </row>
    <row r="45" customFormat="false" ht="15" hidden="false" customHeight="true" outlineLevel="0" collapsed="false">
      <c r="A45" s="84"/>
      <c r="B45" s="85"/>
      <c r="C45" s="85"/>
      <c r="D45" s="86"/>
      <c r="E45" s="86"/>
      <c r="F45" s="86"/>
      <c r="G45" s="85"/>
      <c r="H45" s="87" t="str">
        <f aca="false" t="array" ref="H45:H45">IF($D45="","",IFERROR(INDEX(Costos!$K$23:$K$122,MATCH($D45,Costos!$A$23:$A$122,0)),""))</f>
        <v/>
      </c>
      <c r="I45" s="88"/>
      <c r="J45" s="89" t="str">
        <f aca="false">IF($D45="","",N($H45)*MAX(1,N($G45))-N($I45))</f>
        <v/>
      </c>
      <c r="K45" s="90"/>
      <c r="L45" s="91"/>
      <c r="M45" s="90"/>
      <c r="N45" s="77"/>
      <c r="O45" s="77"/>
      <c r="P45" s="77"/>
    </row>
    <row r="46" customFormat="false" ht="15" hidden="false" customHeight="true" outlineLevel="0" collapsed="false">
      <c r="A46" s="84"/>
      <c r="B46" s="85"/>
      <c r="C46" s="85"/>
      <c r="D46" s="86"/>
      <c r="E46" s="86"/>
      <c r="F46" s="86"/>
      <c r="G46" s="85"/>
      <c r="H46" s="87" t="str">
        <f aca="false" t="array" ref="H46:H46">IF($D46="","",IFERROR(INDEX(Costos!$K$23:$K$122,MATCH($D46,Costos!$A$23:$A$122,0)),""))</f>
        <v/>
      </c>
      <c r="I46" s="88"/>
      <c r="J46" s="89" t="str">
        <f aca="false">IF($D46="","",N($H46)*MAX(1,N($G46))-N($I46))</f>
        <v/>
      </c>
      <c r="K46" s="90"/>
      <c r="L46" s="91"/>
      <c r="M46" s="90"/>
      <c r="N46" s="77"/>
      <c r="O46" s="77"/>
      <c r="P46" s="77"/>
    </row>
    <row r="47" customFormat="false" ht="15" hidden="false" customHeight="true" outlineLevel="0" collapsed="false">
      <c r="A47" s="84"/>
      <c r="B47" s="85"/>
      <c r="C47" s="85"/>
      <c r="D47" s="86"/>
      <c r="E47" s="86"/>
      <c r="F47" s="86"/>
      <c r="G47" s="85"/>
      <c r="H47" s="87" t="str">
        <f aca="false" t="array" ref="H47:H47">IF($D47="","",IFERROR(INDEX(Costos!$K$23:$K$122,MATCH($D47,Costos!$A$23:$A$122,0)),""))</f>
        <v/>
      </c>
      <c r="I47" s="88"/>
      <c r="J47" s="89" t="str">
        <f aca="false">IF($D47="","",N($H47)*MAX(1,N($G47))-N($I47))</f>
        <v/>
      </c>
      <c r="K47" s="90"/>
      <c r="L47" s="91"/>
      <c r="M47" s="90"/>
      <c r="N47" s="77"/>
      <c r="O47" s="77"/>
      <c r="P47" s="77"/>
    </row>
    <row r="48" customFormat="false" ht="15" hidden="false" customHeight="true" outlineLevel="0" collapsed="false">
      <c r="A48" s="84"/>
      <c r="B48" s="85"/>
      <c r="C48" s="85"/>
      <c r="D48" s="86"/>
      <c r="E48" s="86"/>
      <c r="F48" s="86"/>
      <c r="G48" s="85"/>
      <c r="H48" s="87" t="str">
        <f aca="false" t="array" ref="H48:H48">IF($D48="","",IFERROR(INDEX(Costos!$K$23:$K$122,MATCH($D48,Costos!$A$23:$A$122,0)),""))</f>
        <v/>
      </c>
      <c r="I48" s="88"/>
      <c r="J48" s="89" t="str">
        <f aca="false">IF($D48="","",N($H48)*MAX(1,N($G48))-N($I48))</f>
        <v/>
      </c>
      <c r="K48" s="90"/>
      <c r="L48" s="91"/>
      <c r="M48" s="90"/>
      <c r="N48" s="77"/>
      <c r="O48" s="77"/>
      <c r="P48" s="77"/>
    </row>
    <row r="49" customFormat="false" ht="15" hidden="false" customHeight="true" outlineLevel="0" collapsed="false">
      <c r="A49" s="84"/>
      <c r="B49" s="85"/>
      <c r="C49" s="85"/>
      <c r="D49" s="86"/>
      <c r="E49" s="86"/>
      <c r="F49" s="86"/>
      <c r="G49" s="85"/>
      <c r="H49" s="87" t="str">
        <f aca="false" t="array" ref="H49:H49">IF($D49="","",IFERROR(INDEX(Costos!$K$23:$K$122,MATCH($D49,Costos!$A$23:$A$122,0)),""))</f>
        <v/>
      </c>
      <c r="I49" s="88"/>
      <c r="J49" s="89" t="str">
        <f aca="false">IF($D49="","",N($H49)*MAX(1,N($G49))-N($I49))</f>
        <v/>
      </c>
      <c r="K49" s="90"/>
      <c r="L49" s="91"/>
      <c r="M49" s="90"/>
      <c r="N49" s="77"/>
      <c r="O49" s="77"/>
      <c r="P49" s="77"/>
    </row>
    <row r="50" customFormat="false" ht="15" hidden="false" customHeight="true" outlineLevel="0" collapsed="false">
      <c r="A50" s="84"/>
      <c r="B50" s="85"/>
      <c r="C50" s="85"/>
      <c r="D50" s="86"/>
      <c r="E50" s="86"/>
      <c r="F50" s="86"/>
      <c r="G50" s="85"/>
      <c r="H50" s="87" t="str">
        <f aca="false" t="array" ref="H50:H50">IF($D50="","",IFERROR(INDEX(Costos!$K$23:$K$122,MATCH($D50,Costos!$A$23:$A$122,0)),""))</f>
        <v/>
      </c>
      <c r="I50" s="88"/>
      <c r="J50" s="89" t="str">
        <f aca="false">IF($D50="","",N($H50)*MAX(1,N($G50))-N($I50))</f>
        <v/>
      </c>
      <c r="K50" s="90"/>
      <c r="L50" s="91"/>
      <c r="M50" s="90"/>
      <c r="N50" s="77"/>
      <c r="O50" s="77"/>
      <c r="P50" s="77"/>
    </row>
    <row r="51" customFormat="false" ht="15" hidden="false" customHeight="true" outlineLevel="0" collapsed="false">
      <c r="A51" s="84"/>
      <c r="B51" s="85"/>
      <c r="C51" s="85"/>
      <c r="D51" s="86"/>
      <c r="E51" s="86"/>
      <c r="F51" s="86"/>
      <c r="G51" s="85"/>
      <c r="H51" s="87" t="str">
        <f aca="false" t="array" ref="H51:H51">IF($D51="","",IFERROR(INDEX(Costos!$K$23:$K$122,MATCH($D51,Costos!$A$23:$A$122,0)),""))</f>
        <v/>
      </c>
      <c r="I51" s="88"/>
      <c r="J51" s="89" t="str">
        <f aca="false">IF($D51="","",N($H51)*MAX(1,N($G51))-N($I51))</f>
        <v/>
      </c>
      <c r="K51" s="90"/>
      <c r="L51" s="91"/>
      <c r="M51" s="90"/>
      <c r="N51" s="77"/>
      <c r="O51" s="77"/>
      <c r="P51" s="77"/>
    </row>
    <row r="52" customFormat="false" ht="15" hidden="false" customHeight="true" outlineLevel="0" collapsed="false">
      <c r="A52" s="84"/>
      <c r="B52" s="85"/>
      <c r="C52" s="85"/>
      <c r="D52" s="86"/>
      <c r="E52" s="86"/>
      <c r="F52" s="86"/>
      <c r="G52" s="85"/>
      <c r="H52" s="87" t="str">
        <f aca="false" t="array" ref="H52:H52">IF($D52="","",IFERROR(INDEX(Costos!$K$23:$K$122,MATCH($D52,Costos!$A$23:$A$122,0)),""))</f>
        <v/>
      </c>
      <c r="I52" s="88"/>
      <c r="J52" s="89" t="str">
        <f aca="false">IF($D52="","",N($H52)*MAX(1,N($G52))-N($I52))</f>
        <v/>
      </c>
      <c r="K52" s="90"/>
      <c r="L52" s="91"/>
      <c r="M52" s="90"/>
      <c r="N52" s="77"/>
      <c r="O52" s="77"/>
      <c r="P52" s="77"/>
    </row>
    <row r="53" customFormat="false" ht="15" hidden="false" customHeight="true" outlineLevel="0" collapsed="false">
      <c r="A53" s="84"/>
      <c r="B53" s="85"/>
      <c r="C53" s="85"/>
      <c r="D53" s="86"/>
      <c r="E53" s="86"/>
      <c r="F53" s="86"/>
      <c r="G53" s="85"/>
      <c r="H53" s="87" t="str">
        <f aca="false" t="array" ref="H53:H53">IF($D53="","",IFERROR(INDEX(Costos!$K$23:$K$122,MATCH($D53,Costos!$A$23:$A$122,0)),""))</f>
        <v/>
      </c>
      <c r="I53" s="88"/>
      <c r="J53" s="89" t="str">
        <f aca="false">IF($D53="","",N($H53)*MAX(1,N($G53))-N($I53))</f>
        <v/>
      </c>
      <c r="K53" s="90"/>
      <c r="L53" s="91"/>
      <c r="M53" s="90"/>
      <c r="N53" s="77"/>
      <c r="O53" s="77"/>
      <c r="P53" s="77"/>
    </row>
    <row r="54" customFormat="false" ht="15" hidden="false" customHeight="true" outlineLevel="0" collapsed="false">
      <c r="A54" s="84"/>
      <c r="B54" s="85"/>
      <c r="C54" s="85"/>
      <c r="D54" s="86"/>
      <c r="E54" s="86"/>
      <c r="F54" s="86"/>
      <c r="G54" s="85"/>
      <c r="H54" s="87" t="str">
        <f aca="false" t="array" ref="H54:H54">IF($D54="","",IFERROR(INDEX(Costos!$K$23:$K$122,MATCH($D54,Costos!$A$23:$A$122,0)),""))</f>
        <v/>
      </c>
      <c r="I54" s="88"/>
      <c r="J54" s="89" t="str">
        <f aca="false">IF($D54="","",N($H54)*MAX(1,N($G54))-N($I54))</f>
        <v/>
      </c>
      <c r="K54" s="90"/>
      <c r="L54" s="91"/>
      <c r="M54" s="90"/>
      <c r="N54" s="77"/>
      <c r="O54" s="77"/>
      <c r="P54" s="77"/>
    </row>
    <row r="55" customFormat="false" ht="15" hidden="false" customHeight="true" outlineLevel="0" collapsed="false">
      <c r="A55" s="84"/>
      <c r="B55" s="85"/>
      <c r="C55" s="85"/>
      <c r="D55" s="86"/>
      <c r="E55" s="86"/>
      <c r="F55" s="86"/>
      <c r="G55" s="85"/>
      <c r="H55" s="87" t="str">
        <f aca="false" t="array" ref="H55:H55">IF($D55="","",IFERROR(INDEX(Costos!$K$23:$K$122,MATCH($D55,Costos!$A$23:$A$122,0)),""))</f>
        <v/>
      </c>
      <c r="I55" s="88"/>
      <c r="J55" s="89" t="str">
        <f aca="false">IF($D55="","",N($H55)*MAX(1,N($G55))-N($I55))</f>
        <v/>
      </c>
      <c r="K55" s="90"/>
      <c r="L55" s="91"/>
      <c r="M55" s="90"/>
      <c r="N55" s="77"/>
      <c r="O55" s="77"/>
      <c r="P55" s="77"/>
    </row>
    <row r="56" customFormat="false" ht="15" hidden="false" customHeight="true" outlineLevel="0" collapsed="false">
      <c r="A56" s="84"/>
      <c r="B56" s="85"/>
      <c r="C56" s="85"/>
      <c r="D56" s="86"/>
      <c r="E56" s="86"/>
      <c r="F56" s="86"/>
      <c r="G56" s="85"/>
      <c r="H56" s="87" t="str">
        <f aca="false" t="array" ref="H56:H56">IF($D56="","",IFERROR(INDEX(Costos!$K$23:$K$122,MATCH($D56,Costos!$A$23:$A$122,0)),""))</f>
        <v/>
      </c>
      <c r="I56" s="88"/>
      <c r="J56" s="89" t="str">
        <f aca="false">IF($D56="","",N($H56)*MAX(1,N($G56))-N($I56))</f>
        <v/>
      </c>
      <c r="K56" s="90"/>
      <c r="L56" s="91"/>
      <c r="M56" s="90"/>
      <c r="N56" s="77"/>
      <c r="O56" s="77"/>
      <c r="P56" s="77"/>
    </row>
    <row r="57" customFormat="false" ht="15" hidden="false" customHeight="true" outlineLevel="0" collapsed="false">
      <c r="A57" s="84"/>
      <c r="B57" s="85"/>
      <c r="C57" s="85"/>
      <c r="D57" s="86"/>
      <c r="E57" s="86"/>
      <c r="F57" s="86"/>
      <c r="G57" s="85"/>
      <c r="H57" s="87" t="str">
        <f aca="false" t="array" ref="H57:H57">IF($D57="","",IFERROR(INDEX(Costos!$K$23:$K$122,MATCH($D57,Costos!$A$23:$A$122,0)),""))</f>
        <v/>
      </c>
      <c r="I57" s="88"/>
      <c r="J57" s="89" t="str">
        <f aca="false">IF($D57="","",N($H57)*MAX(1,N($G57))-N($I57))</f>
        <v/>
      </c>
      <c r="K57" s="90"/>
      <c r="L57" s="91"/>
      <c r="M57" s="90"/>
      <c r="N57" s="77"/>
      <c r="O57" s="77"/>
      <c r="P57" s="77"/>
    </row>
    <row r="58" customFormat="false" ht="15" hidden="false" customHeight="true" outlineLevel="0" collapsed="false">
      <c r="A58" s="84"/>
      <c r="B58" s="85"/>
      <c r="C58" s="85"/>
      <c r="D58" s="86"/>
      <c r="E58" s="86"/>
      <c r="F58" s="86"/>
      <c r="G58" s="85"/>
      <c r="H58" s="87" t="str">
        <f aca="false" t="array" ref="H58:H58">IF($D58="","",IFERROR(INDEX(Costos!$K$23:$K$122,MATCH($D58,Costos!$A$23:$A$122,0)),""))</f>
        <v/>
      </c>
      <c r="I58" s="88"/>
      <c r="J58" s="89" t="str">
        <f aca="false">IF($D58="","",N($H58)*MAX(1,N($G58))-N($I58))</f>
        <v/>
      </c>
      <c r="K58" s="90"/>
      <c r="L58" s="91"/>
      <c r="M58" s="90"/>
      <c r="N58" s="77"/>
      <c r="O58" s="77"/>
      <c r="P58" s="77"/>
    </row>
    <row r="59" customFormat="false" ht="15" hidden="false" customHeight="true" outlineLevel="0" collapsed="false">
      <c r="A59" s="84"/>
      <c r="B59" s="85"/>
      <c r="C59" s="85"/>
      <c r="D59" s="86"/>
      <c r="E59" s="86"/>
      <c r="F59" s="86"/>
      <c r="G59" s="85"/>
      <c r="H59" s="87" t="str">
        <f aca="false" t="array" ref="H59:H59">IF($D59="","",IFERROR(INDEX(Costos!$K$23:$K$122,MATCH($D59,Costos!$A$23:$A$122,0)),""))</f>
        <v/>
      </c>
      <c r="I59" s="88"/>
      <c r="J59" s="89" t="str">
        <f aca="false">IF($D59="","",N($H59)*MAX(1,N($G59))-N($I59))</f>
        <v/>
      </c>
      <c r="K59" s="90"/>
      <c r="L59" s="91"/>
      <c r="M59" s="90"/>
      <c r="N59" s="77"/>
      <c r="O59" s="77"/>
      <c r="P59" s="77"/>
    </row>
    <row r="60" customFormat="false" ht="15" hidden="false" customHeight="true" outlineLevel="0" collapsed="false">
      <c r="A60" s="84"/>
      <c r="B60" s="85"/>
      <c r="C60" s="85"/>
      <c r="D60" s="86"/>
      <c r="E60" s="86"/>
      <c r="F60" s="86"/>
      <c r="G60" s="85"/>
      <c r="H60" s="87" t="str">
        <f aca="false" t="array" ref="H60:H60">IF($D60="","",IFERROR(INDEX(Costos!$K$23:$K$122,MATCH($D60,Costos!$A$23:$A$122,0)),""))</f>
        <v/>
      </c>
      <c r="I60" s="88"/>
      <c r="J60" s="89" t="str">
        <f aca="false">IF($D60="","",N($H60)*MAX(1,N($G60))-N($I60))</f>
        <v/>
      </c>
      <c r="K60" s="90"/>
      <c r="L60" s="91"/>
      <c r="M60" s="90"/>
      <c r="N60" s="77"/>
      <c r="O60" s="77"/>
      <c r="P60" s="77"/>
    </row>
    <row r="61" customFormat="false" ht="15" hidden="false" customHeight="true" outlineLevel="0" collapsed="false">
      <c r="A61" s="84"/>
      <c r="B61" s="85"/>
      <c r="C61" s="85"/>
      <c r="D61" s="86"/>
      <c r="E61" s="86"/>
      <c r="F61" s="86"/>
      <c r="G61" s="85"/>
      <c r="H61" s="87" t="str">
        <f aca="false" t="array" ref="H61:H61">IF($D61="","",IFERROR(INDEX(Costos!$K$23:$K$122,MATCH($D61,Costos!$A$23:$A$122,0)),""))</f>
        <v/>
      </c>
      <c r="I61" s="88"/>
      <c r="J61" s="89" t="str">
        <f aca="false">IF($D61="","",N($H61)*MAX(1,N($G61))-N($I61))</f>
        <v/>
      </c>
      <c r="K61" s="90"/>
      <c r="L61" s="91"/>
      <c r="M61" s="90"/>
      <c r="N61" s="77"/>
      <c r="O61" s="77"/>
      <c r="P61" s="77"/>
    </row>
    <row r="62" customFormat="false" ht="15" hidden="false" customHeight="true" outlineLevel="0" collapsed="false">
      <c r="A62" s="84"/>
      <c r="B62" s="85"/>
      <c r="C62" s="85"/>
      <c r="D62" s="86"/>
      <c r="E62" s="86"/>
      <c r="F62" s="86"/>
      <c r="G62" s="85"/>
      <c r="H62" s="87" t="str">
        <f aca="false" t="array" ref="H62:H62">IF($D62="","",IFERROR(INDEX(Costos!$K$23:$K$122,MATCH($D62,Costos!$A$23:$A$122,0)),""))</f>
        <v/>
      </c>
      <c r="I62" s="88"/>
      <c r="J62" s="89" t="str">
        <f aca="false">IF($D62="","",N($H62)*MAX(1,N($G62))-N($I62))</f>
        <v/>
      </c>
      <c r="K62" s="90"/>
      <c r="L62" s="91"/>
      <c r="M62" s="90"/>
      <c r="N62" s="77"/>
      <c r="O62" s="77"/>
      <c r="P62" s="77"/>
    </row>
    <row r="63" customFormat="false" ht="15" hidden="false" customHeight="true" outlineLevel="0" collapsed="false">
      <c r="A63" s="84"/>
      <c r="B63" s="85"/>
      <c r="C63" s="85"/>
      <c r="D63" s="86"/>
      <c r="E63" s="86"/>
      <c r="F63" s="86"/>
      <c r="G63" s="85"/>
      <c r="H63" s="87" t="str">
        <f aca="false" t="array" ref="H63:H63">IF($D63="","",IFERROR(INDEX(Costos!$K$23:$K$122,MATCH($D63,Costos!$A$23:$A$122,0)),""))</f>
        <v/>
      </c>
      <c r="I63" s="88"/>
      <c r="J63" s="89" t="str">
        <f aca="false">IF($D63="","",N($H63)*MAX(1,N($G63))-N($I63))</f>
        <v/>
      </c>
      <c r="K63" s="90"/>
      <c r="L63" s="91"/>
      <c r="M63" s="90"/>
      <c r="N63" s="77"/>
      <c r="O63" s="77"/>
      <c r="P63" s="77"/>
    </row>
    <row r="64" customFormat="false" ht="15" hidden="false" customHeight="true" outlineLevel="0" collapsed="false">
      <c r="A64" s="84"/>
      <c r="B64" s="85"/>
      <c r="C64" s="85"/>
      <c r="D64" s="86"/>
      <c r="E64" s="86"/>
      <c r="F64" s="86"/>
      <c r="G64" s="85"/>
      <c r="H64" s="87" t="str">
        <f aca="false" t="array" ref="H64:H64">IF($D64="","",IFERROR(INDEX(Costos!$K$23:$K$122,MATCH($D64,Costos!$A$23:$A$122,0)),""))</f>
        <v/>
      </c>
      <c r="I64" s="88"/>
      <c r="J64" s="89" t="str">
        <f aca="false">IF($D64="","",N($H64)*MAX(1,N($G64))-N($I64))</f>
        <v/>
      </c>
      <c r="K64" s="90"/>
      <c r="L64" s="91"/>
      <c r="M64" s="90"/>
      <c r="N64" s="77"/>
      <c r="O64" s="77"/>
      <c r="P64" s="77"/>
    </row>
    <row r="65" customFormat="false" ht="15" hidden="false" customHeight="true" outlineLevel="0" collapsed="false">
      <c r="A65" s="84"/>
      <c r="B65" s="85"/>
      <c r="C65" s="85"/>
      <c r="D65" s="86"/>
      <c r="E65" s="86"/>
      <c r="F65" s="86"/>
      <c r="G65" s="85"/>
      <c r="H65" s="87" t="str">
        <f aca="false" t="array" ref="H65:H65">IF($D65="","",IFERROR(INDEX(Costos!$K$23:$K$122,MATCH($D65,Costos!$A$23:$A$122,0)),""))</f>
        <v/>
      </c>
      <c r="I65" s="88"/>
      <c r="J65" s="89" t="str">
        <f aca="false">IF($D65="","",N($H65)*MAX(1,N($G65))-N($I65))</f>
        <v/>
      </c>
      <c r="K65" s="90"/>
      <c r="L65" s="91"/>
      <c r="M65" s="90"/>
      <c r="N65" s="77"/>
      <c r="O65" s="77"/>
      <c r="P65" s="77"/>
    </row>
    <row r="66" customFormat="false" ht="15" hidden="false" customHeight="true" outlineLevel="0" collapsed="false">
      <c r="A66" s="84"/>
      <c r="B66" s="85"/>
      <c r="C66" s="85"/>
      <c r="D66" s="86"/>
      <c r="E66" s="86"/>
      <c r="F66" s="86"/>
      <c r="G66" s="85"/>
      <c r="H66" s="87" t="str">
        <f aca="false" t="array" ref="H66:H66">IF($D66="","",IFERROR(INDEX(Costos!$K$23:$K$122,MATCH($D66,Costos!$A$23:$A$122,0)),""))</f>
        <v/>
      </c>
      <c r="I66" s="88"/>
      <c r="J66" s="89" t="str">
        <f aca="false">IF($D66="","",N($H66)*MAX(1,N($G66))-N($I66))</f>
        <v/>
      </c>
      <c r="K66" s="90"/>
      <c r="L66" s="91"/>
      <c r="M66" s="90"/>
      <c r="N66" s="77"/>
      <c r="O66" s="77"/>
      <c r="P66" s="77"/>
    </row>
    <row r="67" customFormat="false" ht="15" hidden="false" customHeight="true" outlineLevel="0" collapsed="false">
      <c r="A67" s="84"/>
      <c r="B67" s="85"/>
      <c r="C67" s="85"/>
      <c r="D67" s="86"/>
      <c r="E67" s="86"/>
      <c r="F67" s="86"/>
      <c r="G67" s="85"/>
      <c r="H67" s="87" t="str">
        <f aca="false" t="array" ref="H67:H67">IF($D67="","",IFERROR(INDEX(Costos!$K$23:$K$122,MATCH($D67,Costos!$A$23:$A$122,0)),""))</f>
        <v/>
      </c>
      <c r="I67" s="88"/>
      <c r="J67" s="89" t="str">
        <f aca="false">IF($D67="","",N($H67)*MAX(1,N($G67))-N($I67))</f>
        <v/>
      </c>
      <c r="K67" s="90"/>
      <c r="L67" s="91"/>
      <c r="M67" s="90"/>
      <c r="N67" s="77"/>
      <c r="O67" s="77"/>
      <c r="P67" s="77"/>
    </row>
    <row r="68" customFormat="false" ht="15" hidden="false" customHeight="true" outlineLevel="0" collapsed="false">
      <c r="A68" s="84"/>
      <c r="B68" s="85"/>
      <c r="C68" s="85"/>
      <c r="D68" s="86"/>
      <c r="E68" s="86"/>
      <c r="F68" s="86"/>
      <c r="G68" s="85"/>
      <c r="H68" s="87" t="str">
        <f aca="false" t="array" ref="H68:H68">IF($D68="","",IFERROR(INDEX(Costos!$K$23:$K$122,MATCH($D68,Costos!$A$23:$A$122,0)),""))</f>
        <v/>
      </c>
      <c r="I68" s="88"/>
      <c r="J68" s="89" t="str">
        <f aca="false">IF($D68="","",N($H68)*MAX(1,N($G68))-N($I68))</f>
        <v/>
      </c>
      <c r="K68" s="90"/>
      <c r="L68" s="91"/>
      <c r="M68" s="90"/>
      <c r="N68" s="77"/>
      <c r="O68" s="77"/>
      <c r="P68" s="77"/>
    </row>
    <row r="69" customFormat="false" ht="15" hidden="false" customHeight="true" outlineLevel="0" collapsed="false">
      <c r="A69" s="84"/>
      <c r="B69" s="85"/>
      <c r="C69" s="85"/>
      <c r="D69" s="86"/>
      <c r="E69" s="86"/>
      <c r="F69" s="86"/>
      <c r="G69" s="85"/>
      <c r="H69" s="87" t="str">
        <f aca="false" t="array" ref="H69:H69">IF($D69="","",IFERROR(INDEX(Costos!$K$23:$K$122,MATCH($D69,Costos!$A$23:$A$122,0)),""))</f>
        <v/>
      </c>
      <c r="I69" s="88"/>
      <c r="J69" s="89" t="str">
        <f aca="false">IF($D69="","",N($H69)*MAX(1,N($G69))-N($I69))</f>
        <v/>
      </c>
      <c r="K69" s="90"/>
      <c r="L69" s="91"/>
      <c r="M69" s="90"/>
      <c r="N69" s="77"/>
      <c r="O69" s="77"/>
      <c r="P69" s="77"/>
    </row>
    <row r="70" customFormat="false" ht="15" hidden="false" customHeight="true" outlineLevel="0" collapsed="false">
      <c r="A70" s="84"/>
      <c r="B70" s="85"/>
      <c r="C70" s="85"/>
      <c r="D70" s="86"/>
      <c r="E70" s="86"/>
      <c r="F70" s="86"/>
      <c r="G70" s="85"/>
      <c r="H70" s="87" t="str">
        <f aca="false" t="array" ref="H70:H70">IF($D70="","",IFERROR(INDEX(Costos!$K$23:$K$122,MATCH($D70,Costos!$A$23:$A$122,0)),""))</f>
        <v/>
      </c>
      <c r="I70" s="88"/>
      <c r="J70" s="89" t="str">
        <f aca="false">IF($D70="","",N($H70)*MAX(1,N($G70))-N($I70))</f>
        <v/>
      </c>
      <c r="K70" s="90"/>
      <c r="L70" s="91"/>
      <c r="M70" s="90"/>
      <c r="N70" s="77"/>
      <c r="O70" s="77"/>
      <c r="P70" s="77"/>
    </row>
    <row r="71" customFormat="false" ht="15" hidden="false" customHeight="true" outlineLevel="0" collapsed="false">
      <c r="A71" s="84"/>
      <c r="B71" s="85"/>
      <c r="C71" s="85"/>
      <c r="D71" s="86"/>
      <c r="E71" s="86"/>
      <c r="F71" s="86"/>
      <c r="G71" s="85"/>
      <c r="H71" s="87" t="str">
        <f aca="false" t="array" ref="H71:H71">IF($D71="","",IFERROR(INDEX(Costos!$K$23:$K$122,MATCH($D71,Costos!$A$23:$A$122,0)),""))</f>
        <v/>
      </c>
      <c r="I71" s="88"/>
      <c r="J71" s="89" t="str">
        <f aca="false">IF($D71="","",N($H71)*MAX(1,N($G71))-N($I71))</f>
        <v/>
      </c>
      <c r="K71" s="90"/>
      <c r="L71" s="91"/>
      <c r="M71" s="90"/>
      <c r="N71" s="77"/>
      <c r="O71" s="77"/>
      <c r="P71" s="77"/>
    </row>
    <row r="72" customFormat="false" ht="15" hidden="false" customHeight="true" outlineLevel="0" collapsed="false">
      <c r="A72" s="84"/>
      <c r="B72" s="85"/>
      <c r="C72" s="85"/>
      <c r="D72" s="86"/>
      <c r="E72" s="86"/>
      <c r="F72" s="86"/>
      <c r="G72" s="85"/>
      <c r="H72" s="87" t="str">
        <f aca="false" t="array" ref="H72:H72">IF($D72="","",IFERROR(INDEX(Costos!$K$23:$K$122,MATCH($D72,Costos!$A$23:$A$122,0)),""))</f>
        <v/>
      </c>
      <c r="I72" s="88"/>
      <c r="J72" s="89" t="str">
        <f aca="false">IF($D72="","",N($H72)*MAX(1,N($G72))-N($I72))</f>
        <v/>
      </c>
      <c r="K72" s="90"/>
      <c r="L72" s="91"/>
      <c r="M72" s="90"/>
      <c r="N72" s="77"/>
      <c r="O72" s="77"/>
      <c r="P72" s="77"/>
    </row>
    <row r="73" customFormat="false" ht="15" hidden="false" customHeight="true" outlineLevel="0" collapsed="false">
      <c r="A73" s="84"/>
      <c r="B73" s="85"/>
      <c r="C73" s="85"/>
      <c r="D73" s="86"/>
      <c r="E73" s="86"/>
      <c r="F73" s="86"/>
      <c r="G73" s="85"/>
      <c r="H73" s="87" t="str">
        <f aca="false" t="array" ref="H73:H73">IF($D73="","",IFERROR(INDEX(Costos!$K$23:$K$122,MATCH($D73,Costos!$A$23:$A$122,0)),""))</f>
        <v/>
      </c>
      <c r="I73" s="88"/>
      <c r="J73" s="89" t="str">
        <f aca="false">IF($D73="","",N($H73)*MAX(1,N($G73))-N($I73))</f>
        <v/>
      </c>
      <c r="K73" s="90"/>
      <c r="L73" s="91"/>
      <c r="M73" s="90"/>
      <c r="N73" s="77"/>
      <c r="O73" s="77"/>
      <c r="P73" s="77"/>
    </row>
    <row r="74" customFormat="false" ht="15" hidden="false" customHeight="true" outlineLevel="0" collapsed="false">
      <c r="A74" s="84"/>
      <c r="B74" s="85"/>
      <c r="C74" s="85"/>
      <c r="D74" s="86"/>
      <c r="E74" s="86"/>
      <c r="F74" s="86"/>
      <c r="G74" s="85"/>
      <c r="H74" s="87" t="str">
        <f aca="false" t="array" ref="H74:H74">IF($D74="","",IFERROR(INDEX(Costos!$K$23:$K$122,MATCH($D74,Costos!$A$23:$A$122,0)),""))</f>
        <v/>
      </c>
      <c r="I74" s="88"/>
      <c r="J74" s="89" t="str">
        <f aca="false">IF($D74="","",N($H74)*MAX(1,N($G74))-N($I74))</f>
        <v/>
      </c>
      <c r="K74" s="90"/>
      <c r="L74" s="91"/>
      <c r="M74" s="90"/>
      <c r="N74" s="77"/>
      <c r="O74" s="77"/>
      <c r="P74" s="77"/>
    </row>
    <row r="75" customFormat="false" ht="15" hidden="false" customHeight="true" outlineLevel="0" collapsed="false">
      <c r="A75" s="84"/>
      <c r="B75" s="85"/>
      <c r="C75" s="85"/>
      <c r="D75" s="86"/>
      <c r="E75" s="86"/>
      <c r="F75" s="86"/>
      <c r="G75" s="85"/>
      <c r="H75" s="87" t="str">
        <f aca="false" t="array" ref="H75:H75">IF($D75="","",IFERROR(INDEX(Costos!$K$23:$K$122,MATCH($D75,Costos!$A$23:$A$122,0)),""))</f>
        <v/>
      </c>
      <c r="I75" s="88"/>
      <c r="J75" s="89" t="str">
        <f aca="false">IF($D75="","",N($H75)*MAX(1,N($G75))-N($I75))</f>
        <v/>
      </c>
      <c r="K75" s="90"/>
      <c r="L75" s="91"/>
      <c r="M75" s="90"/>
      <c r="N75" s="77"/>
      <c r="O75" s="77"/>
      <c r="P75" s="77"/>
    </row>
    <row r="76" customFormat="false" ht="15" hidden="false" customHeight="true" outlineLevel="0" collapsed="false">
      <c r="A76" s="84"/>
      <c r="B76" s="85"/>
      <c r="C76" s="85"/>
      <c r="D76" s="86"/>
      <c r="E76" s="86"/>
      <c r="F76" s="86"/>
      <c r="G76" s="85"/>
      <c r="H76" s="87" t="str">
        <f aca="false" t="array" ref="H76:H76">IF($D76="","",IFERROR(INDEX(Costos!$K$23:$K$122,MATCH($D76,Costos!$A$23:$A$122,0)),""))</f>
        <v/>
      </c>
      <c r="I76" s="88"/>
      <c r="J76" s="89" t="str">
        <f aca="false">IF($D76="","",N($H76)*MAX(1,N($G76))-N($I76))</f>
        <v/>
      </c>
      <c r="K76" s="90"/>
      <c r="L76" s="91"/>
      <c r="M76" s="90"/>
      <c r="N76" s="77"/>
      <c r="O76" s="77"/>
      <c r="P76" s="77"/>
    </row>
    <row r="77" customFormat="false" ht="15" hidden="false" customHeight="true" outlineLevel="0" collapsed="false">
      <c r="A77" s="84"/>
      <c r="B77" s="85"/>
      <c r="C77" s="85"/>
      <c r="D77" s="86"/>
      <c r="E77" s="86"/>
      <c r="F77" s="86"/>
      <c r="G77" s="85"/>
      <c r="H77" s="87" t="str">
        <f aca="false" t="array" ref="H77:H77">IF($D77="","",IFERROR(INDEX(Costos!$K$23:$K$122,MATCH($D77,Costos!$A$23:$A$122,0)),""))</f>
        <v/>
      </c>
      <c r="I77" s="88"/>
      <c r="J77" s="89" t="str">
        <f aca="false">IF($D77="","",N($H77)*MAX(1,N($G77))-N($I77))</f>
        <v/>
      </c>
      <c r="K77" s="90"/>
      <c r="L77" s="91"/>
      <c r="M77" s="90"/>
      <c r="N77" s="77"/>
      <c r="O77" s="77"/>
      <c r="P77" s="77"/>
    </row>
    <row r="78" customFormat="false" ht="15" hidden="false" customHeight="true" outlineLevel="0" collapsed="false">
      <c r="A78" s="84"/>
      <c r="B78" s="85"/>
      <c r="C78" s="85"/>
      <c r="D78" s="86"/>
      <c r="E78" s="86"/>
      <c r="F78" s="86"/>
      <c r="G78" s="85"/>
      <c r="H78" s="87" t="str">
        <f aca="false" t="array" ref="H78:H78">IF($D78="","",IFERROR(INDEX(Costos!$K$23:$K$122,MATCH($D78,Costos!$A$23:$A$122,0)),""))</f>
        <v/>
      </c>
      <c r="I78" s="88"/>
      <c r="J78" s="89" t="str">
        <f aca="false">IF($D78="","",N($H78)*MAX(1,N($G78))-N($I78))</f>
        <v/>
      </c>
      <c r="K78" s="90"/>
      <c r="L78" s="91"/>
      <c r="M78" s="90"/>
      <c r="N78" s="77"/>
      <c r="O78" s="77"/>
      <c r="P78" s="77"/>
    </row>
    <row r="79" customFormat="false" ht="15" hidden="false" customHeight="true" outlineLevel="0" collapsed="false">
      <c r="A79" s="84"/>
      <c r="B79" s="85"/>
      <c r="C79" s="85"/>
      <c r="D79" s="86"/>
      <c r="E79" s="86"/>
      <c r="F79" s="86"/>
      <c r="G79" s="85"/>
      <c r="H79" s="87" t="str">
        <f aca="false" t="array" ref="H79:H79">IF($D79="","",IFERROR(INDEX(Costos!$K$23:$K$122,MATCH($D79,Costos!$A$23:$A$122,0)),""))</f>
        <v/>
      </c>
      <c r="I79" s="88"/>
      <c r="J79" s="89" t="str">
        <f aca="false">IF($D79="","",N($H79)*MAX(1,N($G79))-N($I79))</f>
        <v/>
      </c>
      <c r="K79" s="90"/>
      <c r="L79" s="91"/>
      <c r="M79" s="90"/>
      <c r="N79" s="77"/>
      <c r="O79" s="77"/>
      <c r="P79" s="77"/>
    </row>
    <row r="80" customFormat="false" ht="15" hidden="false" customHeight="true" outlineLevel="0" collapsed="false">
      <c r="A80" s="84"/>
      <c r="B80" s="85"/>
      <c r="C80" s="85"/>
      <c r="D80" s="86"/>
      <c r="E80" s="86"/>
      <c r="F80" s="86"/>
      <c r="G80" s="85"/>
      <c r="H80" s="87" t="str">
        <f aca="false" t="array" ref="H80:H80">IF($D80="","",IFERROR(INDEX(Costos!$K$23:$K$122,MATCH($D80,Costos!$A$23:$A$122,0)),""))</f>
        <v/>
      </c>
      <c r="I80" s="88"/>
      <c r="J80" s="89" t="str">
        <f aca="false">IF($D80="","",N($H80)*MAX(1,N($G80))-N($I80))</f>
        <v/>
      </c>
      <c r="K80" s="90"/>
      <c r="L80" s="91"/>
      <c r="M80" s="90"/>
      <c r="N80" s="77"/>
      <c r="O80" s="77"/>
      <c r="P80" s="77"/>
    </row>
    <row r="81" customFormat="false" ht="15" hidden="false" customHeight="true" outlineLevel="0" collapsed="false">
      <c r="A81" s="84"/>
      <c r="B81" s="85"/>
      <c r="C81" s="85"/>
      <c r="D81" s="86"/>
      <c r="E81" s="86"/>
      <c r="F81" s="86"/>
      <c r="G81" s="85"/>
      <c r="H81" s="87" t="str">
        <f aca="false" t="array" ref="H81:H81">IF($D81="","",IFERROR(INDEX(Costos!$K$23:$K$122,MATCH($D81,Costos!$A$23:$A$122,0)),""))</f>
        <v/>
      </c>
      <c r="I81" s="88"/>
      <c r="J81" s="89" t="str">
        <f aca="false">IF($D81="","",N($H81)*MAX(1,N($G81))-N($I81))</f>
        <v/>
      </c>
      <c r="K81" s="90"/>
      <c r="L81" s="91"/>
      <c r="M81" s="90"/>
      <c r="N81" s="77"/>
      <c r="O81" s="77"/>
      <c r="P81" s="77"/>
    </row>
    <row r="82" customFormat="false" ht="15" hidden="false" customHeight="true" outlineLevel="0" collapsed="false">
      <c r="A82" s="84"/>
      <c r="B82" s="85"/>
      <c r="C82" s="85"/>
      <c r="D82" s="86"/>
      <c r="E82" s="86"/>
      <c r="F82" s="86"/>
      <c r="G82" s="85"/>
      <c r="H82" s="87" t="str">
        <f aca="false" t="array" ref="H82:H82">IF($D82="","",IFERROR(INDEX(Costos!$K$23:$K$122,MATCH($D82,Costos!$A$23:$A$122,0)),""))</f>
        <v/>
      </c>
      <c r="I82" s="88"/>
      <c r="J82" s="89" t="str">
        <f aca="false">IF($D82="","",N($H82)*MAX(1,N($G82))-N($I82))</f>
        <v/>
      </c>
      <c r="K82" s="90"/>
      <c r="L82" s="91"/>
      <c r="M82" s="90"/>
      <c r="N82" s="77"/>
      <c r="O82" s="77"/>
      <c r="P82" s="77"/>
    </row>
    <row r="83" customFormat="false" ht="15" hidden="false" customHeight="true" outlineLevel="0" collapsed="false">
      <c r="A83" s="84"/>
      <c r="B83" s="85"/>
      <c r="C83" s="85"/>
      <c r="D83" s="86"/>
      <c r="E83" s="86"/>
      <c r="F83" s="86"/>
      <c r="G83" s="85"/>
      <c r="H83" s="87" t="str">
        <f aca="false" t="array" ref="H83:H83">IF($D83="","",IFERROR(INDEX(Costos!$K$23:$K$122,MATCH($D83,Costos!$A$23:$A$122,0)),""))</f>
        <v/>
      </c>
      <c r="I83" s="88"/>
      <c r="J83" s="89" t="str">
        <f aca="false">IF($D83="","",N($H83)*MAX(1,N($G83))-N($I83))</f>
        <v/>
      </c>
      <c r="K83" s="90"/>
      <c r="L83" s="91"/>
      <c r="M83" s="90"/>
      <c r="N83" s="77"/>
      <c r="O83" s="77"/>
      <c r="P83" s="77"/>
    </row>
    <row r="84" customFormat="false" ht="15" hidden="false" customHeight="true" outlineLevel="0" collapsed="false">
      <c r="A84" s="84"/>
      <c r="B84" s="85"/>
      <c r="C84" s="85"/>
      <c r="D84" s="86"/>
      <c r="E84" s="86"/>
      <c r="F84" s="86"/>
      <c r="G84" s="85"/>
      <c r="H84" s="87" t="str">
        <f aca="false" t="array" ref="H84:H84">IF($D84="","",IFERROR(INDEX(Costos!$K$23:$K$122,MATCH($D84,Costos!$A$23:$A$122,0)),""))</f>
        <v/>
      </c>
      <c r="I84" s="88"/>
      <c r="J84" s="89" t="str">
        <f aca="false">IF($D84="","",N($H84)*MAX(1,N($G84))-N($I84))</f>
        <v/>
      </c>
      <c r="K84" s="90"/>
      <c r="L84" s="91"/>
      <c r="M84" s="90"/>
      <c r="N84" s="77"/>
      <c r="O84" s="77"/>
      <c r="P84" s="77"/>
    </row>
    <row r="85" customFormat="false" ht="15" hidden="false" customHeight="true" outlineLevel="0" collapsed="false">
      <c r="A85" s="84"/>
      <c r="B85" s="85"/>
      <c r="C85" s="85"/>
      <c r="D85" s="86"/>
      <c r="E85" s="86"/>
      <c r="F85" s="86"/>
      <c r="G85" s="85"/>
      <c r="H85" s="87" t="str">
        <f aca="false" t="array" ref="H85:H85">IF($D85="","",IFERROR(INDEX(Costos!$K$23:$K$122,MATCH($D85,Costos!$A$23:$A$122,0)),""))</f>
        <v/>
      </c>
      <c r="I85" s="88"/>
      <c r="J85" s="89" t="str">
        <f aca="false">IF($D85="","",N($H85)*MAX(1,N($G85))-N($I85))</f>
        <v/>
      </c>
      <c r="K85" s="90"/>
      <c r="L85" s="91"/>
      <c r="M85" s="90"/>
      <c r="N85" s="77"/>
      <c r="O85" s="77"/>
      <c r="P85" s="77"/>
    </row>
    <row r="86" customFormat="false" ht="15" hidden="false" customHeight="true" outlineLevel="0" collapsed="false">
      <c r="A86" s="84"/>
      <c r="B86" s="85"/>
      <c r="C86" s="85"/>
      <c r="D86" s="86"/>
      <c r="E86" s="86"/>
      <c r="F86" s="86"/>
      <c r="G86" s="85"/>
      <c r="H86" s="87" t="str">
        <f aca="false" t="array" ref="H86:H86">IF($D86="","",IFERROR(INDEX(Costos!$K$23:$K$122,MATCH($D86,Costos!$A$23:$A$122,0)),""))</f>
        <v/>
      </c>
      <c r="I86" s="88"/>
      <c r="J86" s="89" t="str">
        <f aca="false">IF($D86="","",N($H86)*MAX(1,N($G86))-N($I86))</f>
        <v/>
      </c>
      <c r="K86" s="90"/>
      <c r="L86" s="91"/>
      <c r="M86" s="90"/>
      <c r="N86" s="77"/>
      <c r="O86" s="77"/>
      <c r="P86" s="77"/>
    </row>
    <row r="87" customFormat="false" ht="15" hidden="false" customHeight="true" outlineLevel="0" collapsed="false">
      <c r="A87" s="84"/>
      <c r="B87" s="85"/>
      <c r="C87" s="85"/>
      <c r="D87" s="86"/>
      <c r="E87" s="86"/>
      <c r="F87" s="86"/>
      <c r="G87" s="85"/>
      <c r="H87" s="87" t="str">
        <f aca="false" t="array" ref="H87:H87">IF($D87="","",IFERROR(INDEX(Costos!$K$23:$K$122,MATCH($D87,Costos!$A$23:$A$122,0)),""))</f>
        <v/>
      </c>
      <c r="I87" s="88"/>
      <c r="J87" s="89" t="str">
        <f aca="false">IF($D87="","",N($H87)*MAX(1,N($G87))-N($I87))</f>
        <v/>
      </c>
      <c r="K87" s="90"/>
      <c r="L87" s="91"/>
      <c r="M87" s="90"/>
      <c r="N87" s="77"/>
      <c r="O87" s="77"/>
      <c r="P87" s="77"/>
    </row>
    <row r="88" customFormat="false" ht="15" hidden="false" customHeight="true" outlineLevel="0" collapsed="false">
      <c r="A88" s="84"/>
      <c r="B88" s="85"/>
      <c r="C88" s="85"/>
      <c r="D88" s="86"/>
      <c r="E88" s="86"/>
      <c r="F88" s="86"/>
      <c r="G88" s="85"/>
      <c r="H88" s="87" t="str">
        <f aca="false" t="array" ref="H88:H88">IF($D88="","",IFERROR(INDEX(Costos!$K$23:$K$122,MATCH($D88,Costos!$A$23:$A$122,0)),""))</f>
        <v/>
      </c>
      <c r="I88" s="88"/>
      <c r="J88" s="89" t="str">
        <f aca="false">IF($D88="","",N($H88)*MAX(1,N($G88))-N($I88))</f>
        <v/>
      </c>
      <c r="K88" s="90"/>
      <c r="L88" s="91"/>
      <c r="M88" s="90"/>
      <c r="N88" s="77"/>
      <c r="O88" s="77"/>
      <c r="P88" s="77"/>
    </row>
    <row r="89" customFormat="false" ht="15" hidden="false" customHeight="true" outlineLevel="0" collapsed="false">
      <c r="A89" s="84"/>
      <c r="B89" s="85"/>
      <c r="C89" s="85"/>
      <c r="D89" s="86"/>
      <c r="E89" s="86"/>
      <c r="F89" s="86"/>
      <c r="G89" s="85"/>
      <c r="H89" s="87" t="str">
        <f aca="false" t="array" ref="H89:H89">IF($D89="","",IFERROR(INDEX(Costos!$K$23:$K$122,MATCH($D89,Costos!$A$23:$A$122,0)),""))</f>
        <v/>
      </c>
      <c r="I89" s="88"/>
      <c r="J89" s="89" t="str">
        <f aca="false">IF($D89="","",N($H89)*MAX(1,N($G89))-N($I89))</f>
        <v/>
      </c>
      <c r="K89" s="90"/>
      <c r="L89" s="91"/>
      <c r="M89" s="90"/>
      <c r="N89" s="77"/>
      <c r="O89" s="77"/>
      <c r="P89" s="77"/>
    </row>
    <row r="90" customFormat="false" ht="15" hidden="false" customHeight="true" outlineLevel="0" collapsed="false">
      <c r="A90" s="84"/>
      <c r="B90" s="85"/>
      <c r="C90" s="85"/>
      <c r="D90" s="86"/>
      <c r="E90" s="86"/>
      <c r="F90" s="86"/>
      <c r="G90" s="85"/>
      <c r="H90" s="87" t="str">
        <f aca="false" t="array" ref="H90:H90">IF($D90="","",IFERROR(INDEX(Costos!$K$23:$K$122,MATCH($D90,Costos!$A$23:$A$122,0)),""))</f>
        <v/>
      </c>
      <c r="I90" s="88"/>
      <c r="J90" s="89" t="str">
        <f aca="false">IF($D90="","",N($H90)*MAX(1,N($G90))-N($I90))</f>
        <v/>
      </c>
      <c r="K90" s="90"/>
      <c r="L90" s="91"/>
      <c r="M90" s="90"/>
      <c r="N90" s="77"/>
      <c r="O90" s="77"/>
      <c r="P90" s="77"/>
    </row>
    <row r="91" customFormat="false" ht="15" hidden="false" customHeight="true" outlineLevel="0" collapsed="false">
      <c r="A91" s="84"/>
      <c r="B91" s="85"/>
      <c r="C91" s="85"/>
      <c r="D91" s="86"/>
      <c r="E91" s="86"/>
      <c r="F91" s="86"/>
      <c r="G91" s="85"/>
      <c r="H91" s="87" t="str">
        <f aca="false" t="array" ref="H91:H91">IF($D91="","",IFERROR(INDEX(Costos!$K$23:$K$122,MATCH($D91,Costos!$A$23:$A$122,0)),""))</f>
        <v/>
      </c>
      <c r="I91" s="88"/>
      <c r="J91" s="89" t="str">
        <f aca="false">IF($D91="","",N($H91)*MAX(1,N($G91))-N($I91))</f>
        <v/>
      </c>
      <c r="K91" s="90"/>
      <c r="L91" s="91"/>
      <c r="M91" s="90"/>
      <c r="N91" s="77"/>
      <c r="O91" s="77"/>
      <c r="P91" s="77"/>
    </row>
    <row r="92" customFormat="false" ht="15" hidden="false" customHeight="true" outlineLevel="0" collapsed="false">
      <c r="A92" s="84"/>
      <c r="B92" s="85"/>
      <c r="C92" s="85"/>
      <c r="D92" s="86"/>
      <c r="E92" s="86"/>
      <c r="F92" s="86"/>
      <c r="G92" s="85"/>
      <c r="H92" s="87" t="str">
        <f aca="false" t="array" ref="H92:H92">IF($D92="","",IFERROR(INDEX(Costos!$K$23:$K$122,MATCH($D92,Costos!$A$23:$A$122,0)),""))</f>
        <v/>
      </c>
      <c r="I92" s="88"/>
      <c r="J92" s="89" t="str">
        <f aca="false">IF($D92="","",N($H92)*MAX(1,N($G92))-N($I92))</f>
        <v/>
      </c>
      <c r="K92" s="90"/>
      <c r="L92" s="91"/>
      <c r="M92" s="90"/>
      <c r="N92" s="77"/>
      <c r="O92" s="77"/>
      <c r="P92" s="77"/>
    </row>
    <row r="93" customFormat="false" ht="15" hidden="false" customHeight="true" outlineLevel="0" collapsed="false">
      <c r="A93" s="84"/>
      <c r="B93" s="85"/>
      <c r="C93" s="85"/>
      <c r="D93" s="86"/>
      <c r="E93" s="86"/>
      <c r="F93" s="86"/>
      <c r="G93" s="85"/>
      <c r="H93" s="87" t="str">
        <f aca="false" t="array" ref="H93:H93">IF($D93="","",IFERROR(INDEX(Costos!$K$23:$K$122,MATCH($D93,Costos!$A$23:$A$122,0)),""))</f>
        <v/>
      </c>
      <c r="I93" s="88"/>
      <c r="J93" s="89" t="str">
        <f aca="false">IF($D93="","",N($H93)*MAX(1,N($G93))-N($I93))</f>
        <v/>
      </c>
      <c r="K93" s="90"/>
      <c r="L93" s="91"/>
      <c r="M93" s="90"/>
      <c r="N93" s="77"/>
      <c r="O93" s="77"/>
      <c r="P93" s="77"/>
    </row>
    <row r="94" customFormat="false" ht="15" hidden="false" customHeight="true" outlineLevel="0" collapsed="false">
      <c r="A94" s="84"/>
      <c r="B94" s="85"/>
      <c r="C94" s="85"/>
      <c r="D94" s="86"/>
      <c r="E94" s="86"/>
      <c r="F94" s="86"/>
      <c r="G94" s="85"/>
      <c r="H94" s="87" t="str">
        <f aca="false" t="array" ref="H94:H94">IF($D94="","",IFERROR(INDEX(Costos!$K$23:$K$122,MATCH($D94,Costos!$A$23:$A$122,0)),""))</f>
        <v/>
      </c>
      <c r="I94" s="88"/>
      <c r="J94" s="89" t="str">
        <f aca="false">IF($D94="","",N($H94)*MAX(1,N($G94))-N($I94))</f>
        <v/>
      </c>
      <c r="K94" s="90"/>
      <c r="L94" s="91"/>
      <c r="M94" s="90"/>
      <c r="N94" s="77"/>
      <c r="O94" s="77"/>
      <c r="P94" s="77"/>
    </row>
    <row r="95" customFormat="false" ht="15" hidden="false" customHeight="true" outlineLevel="0" collapsed="false">
      <c r="A95" s="84"/>
      <c r="B95" s="85"/>
      <c r="C95" s="85"/>
      <c r="D95" s="86"/>
      <c r="E95" s="86"/>
      <c r="F95" s="86"/>
      <c r="G95" s="85"/>
      <c r="H95" s="87" t="str">
        <f aca="false" t="array" ref="H95:H95">IF($D95="","",IFERROR(INDEX(Costos!$K$23:$K$122,MATCH($D95,Costos!$A$23:$A$122,0)),""))</f>
        <v/>
      </c>
      <c r="I95" s="88"/>
      <c r="J95" s="89" t="str">
        <f aca="false">IF($D95="","",N($H95)*MAX(1,N($G95))-N($I95))</f>
        <v/>
      </c>
      <c r="K95" s="90"/>
      <c r="L95" s="91"/>
      <c r="M95" s="90"/>
      <c r="N95" s="77"/>
      <c r="O95" s="77"/>
      <c r="P95" s="77"/>
    </row>
    <row r="96" customFormat="false" ht="15" hidden="false" customHeight="true" outlineLevel="0" collapsed="false">
      <c r="A96" s="84"/>
      <c r="B96" s="85"/>
      <c r="C96" s="85"/>
      <c r="D96" s="86"/>
      <c r="E96" s="86"/>
      <c r="F96" s="86"/>
      <c r="G96" s="85"/>
      <c r="H96" s="87" t="str">
        <f aca="false" t="array" ref="H96:H96">IF($D96="","",IFERROR(INDEX(Costos!$K$23:$K$122,MATCH($D96,Costos!$A$23:$A$122,0)),""))</f>
        <v/>
      </c>
      <c r="I96" s="88"/>
      <c r="J96" s="89" t="str">
        <f aca="false">IF($D96="","",N($H96)*MAX(1,N($G96))-N($I96))</f>
        <v/>
      </c>
      <c r="K96" s="90"/>
      <c r="L96" s="91"/>
      <c r="M96" s="90"/>
      <c r="N96" s="77"/>
      <c r="O96" s="77"/>
      <c r="P96" s="77"/>
    </row>
    <row r="97" customFormat="false" ht="15" hidden="false" customHeight="true" outlineLevel="0" collapsed="false">
      <c r="A97" s="84"/>
      <c r="B97" s="85"/>
      <c r="C97" s="85"/>
      <c r="D97" s="86"/>
      <c r="E97" s="86"/>
      <c r="F97" s="86"/>
      <c r="G97" s="85"/>
      <c r="H97" s="87" t="str">
        <f aca="false" t="array" ref="H97:H97">IF($D97="","",IFERROR(INDEX(Costos!$K$23:$K$122,MATCH($D97,Costos!$A$23:$A$122,0)),""))</f>
        <v/>
      </c>
      <c r="I97" s="88"/>
      <c r="J97" s="89" t="str">
        <f aca="false">IF($D97="","",N($H97)*MAX(1,N($G97))-N($I97))</f>
        <v/>
      </c>
      <c r="K97" s="90"/>
      <c r="L97" s="91"/>
      <c r="M97" s="90"/>
      <c r="N97" s="77"/>
      <c r="O97" s="77"/>
      <c r="P97" s="77"/>
    </row>
    <row r="98" customFormat="false" ht="15" hidden="false" customHeight="true" outlineLevel="0" collapsed="false">
      <c r="A98" s="84"/>
      <c r="B98" s="85"/>
      <c r="C98" s="85"/>
      <c r="D98" s="86"/>
      <c r="E98" s="86"/>
      <c r="F98" s="86"/>
      <c r="G98" s="85"/>
      <c r="H98" s="87" t="str">
        <f aca="false" t="array" ref="H98:H98">IF($D98="","",IFERROR(INDEX(Costos!$K$23:$K$122,MATCH($D98,Costos!$A$23:$A$122,0)),""))</f>
        <v/>
      </c>
      <c r="I98" s="88"/>
      <c r="J98" s="89" t="str">
        <f aca="false">IF($D98="","",N($H98)*MAX(1,N($G98))-N($I98))</f>
        <v/>
      </c>
      <c r="K98" s="90"/>
      <c r="L98" s="91"/>
      <c r="M98" s="90"/>
      <c r="N98" s="77"/>
      <c r="O98" s="77"/>
      <c r="P98" s="77"/>
    </row>
    <row r="99" customFormat="false" ht="15" hidden="false" customHeight="true" outlineLevel="0" collapsed="false">
      <c r="A99" s="84"/>
      <c r="B99" s="85"/>
      <c r="C99" s="85"/>
      <c r="D99" s="86"/>
      <c r="E99" s="86"/>
      <c r="F99" s="86"/>
      <c r="G99" s="85"/>
      <c r="H99" s="87" t="str">
        <f aca="false" t="array" ref="H99:H99">IF($D99="","",IFERROR(INDEX(Costos!$K$23:$K$122,MATCH($D99,Costos!$A$23:$A$122,0)),""))</f>
        <v/>
      </c>
      <c r="I99" s="88"/>
      <c r="J99" s="89" t="str">
        <f aca="false">IF($D99="","",N($H99)*MAX(1,N($G99))-N($I99))</f>
        <v/>
      </c>
      <c r="K99" s="90"/>
      <c r="L99" s="91"/>
      <c r="M99" s="90"/>
      <c r="N99" s="77"/>
      <c r="O99" s="77"/>
      <c r="P99" s="77"/>
    </row>
    <row r="100" customFormat="false" ht="15" hidden="false" customHeight="true" outlineLevel="0" collapsed="false">
      <c r="A100" s="84"/>
      <c r="B100" s="85"/>
      <c r="C100" s="85"/>
      <c r="D100" s="86"/>
      <c r="E100" s="86"/>
      <c r="F100" s="86"/>
      <c r="G100" s="85"/>
      <c r="H100" s="87" t="str">
        <f aca="false" t="array" ref="H100:H100">IF($D100="","",IFERROR(INDEX(Costos!$K$23:$K$122,MATCH($D100,Costos!$A$23:$A$122,0)),""))</f>
        <v/>
      </c>
      <c r="I100" s="88"/>
      <c r="J100" s="89" t="str">
        <f aca="false">IF($D100="","",N($H100)*MAX(1,N($G100))-N($I100))</f>
        <v/>
      </c>
      <c r="K100" s="90"/>
      <c r="L100" s="91"/>
      <c r="M100" s="90"/>
      <c r="N100" s="77"/>
      <c r="O100" s="77"/>
      <c r="P100" s="77"/>
    </row>
    <row r="101" customFormat="false" ht="15" hidden="false" customHeight="true" outlineLevel="0" collapsed="false">
      <c r="A101" s="84"/>
      <c r="B101" s="85"/>
      <c r="C101" s="85"/>
      <c r="D101" s="86"/>
      <c r="E101" s="86"/>
      <c r="F101" s="86"/>
      <c r="G101" s="85"/>
      <c r="H101" s="87" t="str">
        <f aca="false" t="array" ref="H101:H101">IF($D101="","",IFERROR(INDEX(Costos!$K$23:$K$122,MATCH($D101,Costos!$A$23:$A$122,0)),""))</f>
        <v/>
      </c>
      <c r="I101" s="88"/>
      <c r="J101" s="89" t="str">
        <f aca="false">IF($D101="","",N($H101)*MAX(1,N($G101))-N($I101))</f>
        <v/>
      </c>
      <c r="K101" s="90"/>
      <c r="L101" s="91"/>
      <c r="M101" s="90"/>
      <c r="N101" s="77"/>
      <c r="O101" s="77"/>
      <c r="P101" s="77"/>
    </row>
    <row r="102" customFormat="false" ht="15" hidden="false" customHeight="true" outlineLevel="0" collapsed="false">
      <c r="A102" s="84"/>
      <c r="B102" s="85"/>
      <c r="C102" s="85"/>
      <c r="D102" s="86"/>
      <c r="E102" s="86"/>
      <c r="F102" s="86"/>
      <c r="G102" s="85"/>
      <c r="H102" s="87" t="str">
        <f aca="false" t="array" ref="H102:H102">IF($D102="","",IFERROR(INDEX(Costos!$K$23:$K$122,MATCH($D102,Costos!$A$23:$A$122,0)),""))</f>
        <v/>
      </c>
      <c r="I102" s="88"/>
      <c r="J102" s="89" t="str">
        <f aca="false">IF($D102="","",N($H102)*MAX(1,N($G102))-N($I102))</f>
        <v/>
      </c>
      <c r="K102" s="90"/>
      <c r="L102" s="91"/>
      <c r="M102" s="90"/>
      <c r="N102" s="77"/>
      <c r="O102" s="77"/>
      <c r="P102" s="77"/>
    </row>
    <row r="103" customFormat="false" ht="15" hidden="false" customHeight="true" outlineLevel="0" collapsed="false">
      <c r="A103" s="84"/>
      <c r="B103" s="85"/>
      <c r="C103" s="85"/>
      <c r="D103" s="86"/>
      <c r="E103" s="86"/>
      <c r="F103" s="86"/>
      <c r="G103" s="85"/>
      <c r="H103" s="87" t="str">
        <f aca="false" t="array" ref="H103:H103">IF($D103="","",IFERROR(INDEX(Costos!$K$23:$K$122,MATCH($D103,Costos!$A$23:$A$122,0)),""))</f>
        <v/>
      </c>
      <c r="I103" s="88"/>
      <c r="J103" s="89" t="str">
        <f aca="false">IF($D103="","",N($H103)*MAX(1,N($G103))-N($I103))</f>
        <v/>
      </c>
      <c r="K103" s="90"/>
      <c r="L103" s="91"/>
      <c r="M103" s="90"/>
      <c r="N103" s="77"/>
      <c r="O103" s="77"/>
      <c r="P103" s="77"/>
    </row>
    <row r="104" customFormat="false" ht="15" hidden="false" customHeight="true" outlineLevel="0" collapsed="false">
      <c r="A104" s="84"/>
      <c r="B104" s="85"/>
      <c r="C104" s="85"/>
      <c r="D104" s="86"/>
      <c r="E104" s="86"/>
      <c r="F104" s="86"/>
      <c r="G104" s="85"/>
      <c r="H104" s="87" t="str">
        <f aca="false" t="array" ref="H104:H104">IF($D104="","",IFERROR(INDEX(Costos!$K$23:$K$122,MATCH($D104,Costos!$A$23:$A$122,0)),""))</f>
        <v/>
      </c>
      <c r="I104" s="88"/>
      <c r="J104" s="89" t="str">
        <f aca="false">IF($D104="","",N($H104)*MAX(1,N($G104))-N($I104))</f>
        <v/>
      </c>
      <c r="K104" s="90"/>
      <c r="L104" s="91"/>
      <c r="M104" s="90"/>
      <c r="N104" s="77"/>
      <c r="O104" s="77"/>
      <c r="P104" s="77"/>
    </row>
    <row r="105" customFormat="false" ht="15" hidden="false" customHeight="true" outlineLevel="0" collapsed="false">
      <c r="A105" s="84"/>
      <c r="B105" s="85"/>
      <c r="C105" s="85"/>
      <c r="D105" s="86"/>
      <c r="E105" s="86"/>
      <c r="F105" s="86"/>
      <c r="G105" s="85"/>
      <c r="H105" s="87" t="str">
        <f aca="false" t="array" ref="H105:H105">IF($D105="","",IFERROR(INDEX(Costos!$K$23:$K$122,MATCH($D105,Costos!$A$23:$A$122,0)),""))</f>
        <v/>
      </c>
      <c r="I105" s="88"/>
      <c r="J105" s="89" t="str">
        <f aca="false">IF($D105="","",N($H105)*MAX(1,N($G105))-N($I105))</f>
        <v/>
      </c>
      <c r="K105" s="90"/>
      <c r="L105" s="91"/>
      <c r="M105" s="90"/>
      <c r="N105" s="77"/>
      <c r="O105" s="77"/>
      <c r="P105" s="77"/>
    </row>
    <row r="106" customFormat="false" ht="15.75" hidden="false" customHeight="true" outlineLevel="0" collapsed="false">
      <c r="A106" s="77"/>
      <c r="B106" s="77"/>
      <c r="C106" s="77"/>
      <c r="D106" s="77"/>
      <c r="E106" s="77"/>
      <c r="F106" s="77"/>
      <c r="G106" s="77"/>
      <c r="H106" s="87" t="str">
        <f aca="false" t="array" ref="H106:H106">IF($D106="","",IFERROR(INDEX(Costos!$K$23:$K$122,MATCH($D106,Costos!$A$23:$A$122,0)),""))</f>
        <v/>
      </c>
      <c r="I106" s="77"/>
      <c r="J106" s="77"/>
      <c r="K106" s="77"/>
      <c r="L106" s="77"/>
      <c r="M106" s="77"/>
      <c r="N106" s="77"/>
      <c r="O106" s="77"/>
      <c r="P106" s="77"/>
    </row>
    <row r="107" customFormat="false" ht="15.75" hidden="false" customHeight="true" outlineLevel="0" collapsed="false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</row>
    <row r="108" customFormat="false" ht="15.75" hidden="false" customHeight="true" outlineLevel="0" collapsed="false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</row>
    <row r="109" customFormat="false" ht="15.75" hidden="false" customHeight="true" outlineLevel="0" collapsed="false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</row>
    <row r="110" customFormat="false" ht="15.75" hidden="false" customHeight="true" outlineLevel="0" collapsed="false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</row>
    <row r="111" customFormat="false" ht="15.75" hidden="false" customHeight="true" outlineLevel="0" collapsed="false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</row>
    <row r="112" customFormat="false" ht="15.75" hidden="false" customHeight="true" outlineLevel="0" collapsed="false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</row>
    <row r="113" customFormat="false" ht="15.75" hidden="false" customHeight="true" outlineLevel="0" collapsed="false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</row>
    <row r="114" customFormat="false" ht="15.75" hidden="false" customHeight="true" outlineLevel="0" collapsed="false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</row>
    <row r="115" customFormat="false" ht="15.75" hidden="false" customHeight="true" outlineLevel="0" collapsed="false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</row>
    <row r="116" customFormat="false" ht="15.75" hidden="false" customHeight="true" outlineLevel="0" collapsed="false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</row>
    <row r="117" customFormat="false" ht="15.75" hidden="false" customHeight="true" outlineLevel="0" collapsed="false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</row>
    <row r="118" customFormat="false" ht="15.75" hidden="false" customHeight="true" outlineLevel="0" collapsed="false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</row>
    <row r="119" customFormat="false" ht="15.75" hidden="false" customHeight="true" outlineLevel="0" collapsed="false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</row>
    <row r="120" customFormat="false" ht="15.75" hidden="false" customHeight="true" outlineLevel="0" collapsed="false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</row>
    <row r="121" customFormat="false" ht="15.75" hidden="false" customHeight="true" outlineLevel="0" collapsed="false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</row>
    <row r="122" customFormat="false" ht="15.75" hidden="false" customHeight="true" outlineLevel="0" collapsed="false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</row>
    <row r="123" customFormat="false" ht="15.75" hidden="false" customHeight="true" outlineLevel="0" collapsed="false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</row>
    <row r="124" customFormat="false" ht="15.75" hidden="false" customHeight="true" outlineLevel="0" collapsed="false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</row>
    <row r="125" customFormat="false" ht="15.75" hidden="false" customHeight="true" outlineLevel="0" collapsed="false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</row>
    <row r="126" customFormat="false" ht="15.75" hidden="false" customHeight="true" outlineLevel="0" collapsed="false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</row>
    <row r="127" customFormat="false" ht="15.75" hidden="false" customHeight="true" outlineLevel="0" collapsed="false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</row>
    <row r="128" customFormat="false" ht="15.75" hidden="false" customHeight="true" outlineLevel="0" collapsed="false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</row>
    <row r="129" customFormat="false" ht="15.75" hidden="false" customHeight="true" outlineLevel="0" collapsed="false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</row>
    <row r="130" customFormat="false" ht="15.75" hidden="false" customHeight="true" outlineLevel="0" collapsed="false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</row>
    <row r="131" customFormat="false" ht="15.75" hidden="false" customHeight="true" outlineLevel="0" collapsed="false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</row>
    <row r="132" customFormat="false" ht="15.75" hidden="false" customHeight="true" outlineLevel="0" collapsed="false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</row>
    <row r="133" customFormat="false" ht="15.75" hidden="false" customHeight="true" outlineLevel="0" collapsed="false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</row>
    <row r="134" customFormat="false" ht="15.75" hidden="false" customHeight="true" outlineLevel="0" collapsed="false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</row>
    <row r="135" customFormat="false" ht="15.75" hidden="false" customHeight="true" outlineLevel="0" collapsed="false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</row>
    <row r="136" customFormat="false" ht="15.75" hidden="false" customHeight="true" outlineLevel="0" collapsed="false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</row>
    <row r="137" customFormat="false" ht="15.75" hidden="false" customHeight="true" outlineLevel="0" collapsed="false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</row>
    <row r="138" customFormat="false" ht="15.75" hidden="false" customHeight="true" outlineLevel="0" collapsed="false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</row>
    <row r="139" customFormat="false" ht="15.75" hidden="false" customHeight="true" outlineLevel="0" collapsed="false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</row>
    <row r="140" customFormat="false" ht="15.75" hidden="false" customHeight="true" outlineLevel="0" collapsed="false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</row>
    <row r="141" customFormat="false" ht="15.75" hidden="false" customHeight="true" outlineLevel="0" collapsed="false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</row>
    <row r="142" customFormat="false" ht="15.75" hidden="false" customHeight="true" outlineLevel="0" collapsed="false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</row>
    <row r="143" customFormat="false" ht="15.75" hidden="false" customHeight="true" outlineLevel="0" collapsed="false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</row>
    <row r="144" customFormat="false" ht="15.75" hidden="false" customHeight="true" outlineLevel="0" collapsed="false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</row>
    <row r="145" customFormat="false" ht="15.75" hidden="false" customHeight="true" outlineLevel="0" collapsed="false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</row>
    <row r="146" customFormat="false" ht="15.75" hidden="false" customHeight="true" outlineLevel="0" collapsed="false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</row>
    <row r="147" customFormat="false" ht="15.75" hidden="false" customHeight="true" outlineLevel="0" collapsed="false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</row>
    <row r="148" customFormat="false" ht="15.75" hidden="false" customHeight="true" outlineLevel="0" collapsed="false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</row>
    <row r="149" customFormat="false" ht="15.75" hidden="false" customHeight="true" outlineLevel="0" collapsed="false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</row>
    <row r="150" customFormat="false" ht="15.75" hidden="false" customHeight="true" outlineLevel="0" collapsed="false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</row>
    <row r="151" customFormat="false" ht="15.75" hidden="false" customHeight="true" outlineLevel="0" collapsed="false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</row>
    <row r="152" customFormat="false" ht="15.75" hidden="false" customHeight="true" outlineLevel="0" collapsed="false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</row>
    <row r="153" customFormat="false" ht="15.75" hidden="false" customHeight="true" outlineLevel="0" collapsed="false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</row>
    <row r="154" customFormat="false" ht="15.75" hidden="false" customHeight="true" outlineLevel="0" collapsed="false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</row>
    <row r="155" customFormat="false" ht="15.75" hidden="false" customHeight="true" outlineLevel="0" collapsed="false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</row>
    <row r="156" customFormat="false" ht="15.75" hidden="false" customHeight="true" outlineLevel="0" collapsed="false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</row>
    <row r="157" customFormat="false" ht="15.75" hidden="false" customHeight="true" outlineLevel="0" collapsed="false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</row>
    <row r="158" customFormat="false" ht="15.75" hidden="false" customHeight="true" outlineLevel="0" collapsed="false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</row>
    <row r="159" customFormat="false" ht="15.75" hidden="false" customHeight="true" outlineLevel="0" collapsed="false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</row>
    <row r="160" customFormat="false" ht="15.75" hidden="false" customHeight="true" outlineLevel="0" collapsed="false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</row>
    <row r="161" customFormat="false" ht="15.75" hidden="false" customHeight="true" outlineLevel="0" collapsed="false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</row>
    <row r="162" customFormat="false" ht="15.75" hidden="false" customHeight="true" outlineLevel="0" collapsed="false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</row>
    <row r="163" customFormat="false" ht="15.75" hidden="false" customHeight="true" outlineLevel="0" collapsed="false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</row>
    <row r="164" customFormat="false" ht="15.75" hidden="false" customHeight="true" outlineLevel="0" collapsed="false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</row>
    <row r="165" customFormat="false" ht="15.75" hidden="false" customHeight="true" outlineLevel="0" collapsed="false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</row>
    <row r="166" customFormat="false" ht="15.75" hidden="false" customHeight="true" outlineLevel="0" collapsed="false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</row>
    <row r="167" customFormat="false" ht="15.75" hidden="false" customHeight="true" outlineLevel="0" collapsed="false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</row>
    <row r="168" customFormat="false" ht="15.75" hidden="false" customHeight="true" outlineLevel="0" collapsed="false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</row>
    <row r="169" customFormat="false" ht="15.75" hidden="false" customHeight="true" outlineLevel="0" collapsed="false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</row>
    <row r="170" customFormat="false" ht="15.75" hidden="false" customHeight="true" outlineLevel="0" collapsed="false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</row>
    <row r="171" customFormat="false" ht="15.75" hidden="false" customHeight="true" outlineLevel="0" collapsed="false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</row>
    <row r="172" customFormat="false" ht="15.75" hidden="false" customHeight="true" outlineLevel="0" collapsed="false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</row>
    <row r="173" customFormat="false" ht="15.75" hidden="false" customHeight="true" outlineLevel="0" collapsed="false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</row>
    <row r="174" customFormat="false" ht="15.75" hidden="false" customHeight="true" outlineLevel="0" collapsed="false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</row>
    <row r="175" customFormat="false" ht="15.75" hidden="false" customHeight="true" outlineLevel="0" collapsed="false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</row>
    <row r="176" customFormat="false" ht="15.75" hidden="false" customHeight="true" outlineLevel="0" collapsed="false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</row>
    <row r="177" customFormat="false" ht="15.75" hidden="false" customHeight="true" outlineLevel="0" collapsed="false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</row>
    <row r="178" customFormat="false" ht="15.75" hidden="false" customHeight="true" outlineLevel="0" collapsed="false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</row>
    <row r="179" customFormat="false" ht="15.75" hidden="false" customHeight="true" outlineLevel="0" collapsed="false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</row>
    <row r="180" customFormat="false" ht="15.75" hidden="false" customHeight="true" outlineLevel="0" collapsed="false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</row>
    <row r="181" customFormat="false" ht="15.75" hidden="false" customHeight="true" outlineLevel="0" collapsed="false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</row>
    <row r="182" customFormat="false" ht="15.75" hidden="false" customHeight="true" outlineLevel="0" collapsed="false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</row>
    <row r="183" customFormat="false" ht="15.75" hidden="false" customHeight="true" outlineLevel="0" collapsed="false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</row>
    <row r="184" customFormat="false" ht="15.75" hidden="false" customHeight="true" outlineLevel="0" collapsed="false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</row>
    <row r="185" customFormat="false" ht="15.75" hidden="false" customHeight="true" outlineLevel="0" collapsed="false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</row>
    <row r="186" customFormat="false" ht="15.75" hidden="false" customHeight="true" outlineLevel="0" collapsed="false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</row>
    <row r="187" customFormat="false" ht="15.75" hidden="false" customHeight="true" outlineLevel="0" collapsed="false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</row>
    <row r="188" customFormat="false" ht="15.75" hidden="false" customHeight="true" outlineLevel="0" collapsed="false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</row>
    <row r="189" customFormat="false" ht="15.75" hidden="false" customHeight="true" outlineLevel="0" collapsed="false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</row>
    <row r="190" customFormat="false" ht="15.75" hidden="false" customHeight="true" outlineLevel="0" collapsed="false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</row>
    <row r="191" customFormat="false" ht="15.75" hidden="false" customHeight="true" outlineLevel="0" collapsed="false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</row>
    <row r="192" customFormat="false" ht="15.75" hidden="false" customHeight="true" outlineLevel="0" collapsed="false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</row>
    <row r="193" customFormat="false" ht="15.75" hidden="false" customHeight="true" outlineLevel="0" collapsed="false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</row>
    <row r="194" customFormat="false" ht="15.75" hidden="false" customHeight="true" outlineLevel="0" collapsed="false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</row>
    <row r="195" customFormat="false" ht="15.75" hidden="false" customHeight="true" outlineLevel="0" collapsed="false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</row>
    <row r="196" customFormat="false" ht="15.75" hidden="false" customHeight="true" outlineLevel="0" collapsed="false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</row>
    <row r="197" customFormat="false" ht="15.75" hidden="false" customHeight="true" outlineLevel="0" collapsed="false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</row>
    <row r="198" customFormat="false" ht="15.75" hidden="false" customHeight="true" outlineLevel="0" collapsed="false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</row>
    <row r="199" customFormat="false" ht="15.75" hidden="false" customHeight="true" outlineLevel="0" collapsed="false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</row>
    <row r="200" customFormat="false" ht="15.75" hidden="false" customHeight="true" outlineLevel="0" collapsed="false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</row>
    <row r="201" customFormat="false" ht="15.75" hidden="false" customHeight="true" outlineLevel="0" collapsed="false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</row>
    <row r="202" customFormat="false" ht="15.75" hidden="false" customHeight="true" outlineLevel="0" collapsed="false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</row>
    <row r="203" customFormat="false" ht="15.75" hidden="false" customHeight="true" outlineLevel="0" collapsed="false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</row>
    <row r="204" customFormat="false" ht="15.75" hidden="false" customHeight="true" outlineLevel="0" collapsed="false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</row>
    <row r="205" customFormat="false" ht="15.75" hidden="false" customHeight="true" outlineLevel="0" collapsed="false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</row>
    <row r="206" customFormat="false" ht="15.75" hidden="false" customHeight="true" outlineLevel="0" collapsed="false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</row>
    <row r="207" customFormat="false" ht="15.75" hidden="false" customHeight="true" outlineLevel="0" collapsed="false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</row>
    <row r="208" customFormat="false" ht="15.75" hidden="false" customHeight="true" outlineLevel="0" collapsed="false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</row>
    <row r="209" customFormat="false" ht="15.75" hidden="false" customHeight="true" outlineLevel="0" collapsed="false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</row>
    <row r="210" customFormat="false" ht="15.75" hidden="false" customHeight="true" outlineLevel="0" collapsed="false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</row>
    <row r="211" customFormat="false" ht="15.75" hidden="false" customHeight="true" outlineLevel="0" collapsed="false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</row>
    <row r="212" customFormat="false" ht="15.75" hidden="false" customHeight="true" outlineLevel="0" collapsed="false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</row>
    <row r="213" customFormat="false" ht="15.75" hidden="false" customHeight="true" outlineLevel="0" collapsed="false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</row>
    <row r="214" customFormat="false" ht="15.75" hidden="false" customHeight="true" outlineLevel="0" collapsed="false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</row>
    <row r="215" customFormat="false" ht="15.75" hidden="false" customHeight="true" outlineLevel="0" collapsed="false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</row>
    <row r="216" customFormat="false" ht="15.75" hidden="false" customHeight="true" outlineLevel="0" collapsed="false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</row>
    <row r="217" customFormat="false" ht="15.75" hidden="false" customHeight="true" outlineLevel="0" collapsed="false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</row>
    <row r="218" customFormat="false" ht="15.75" hidden="false" customHeight="true" outlineLevel="0" collapsed="false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</row>
    <row r="219" customFormat="false" ht="15.75" hidden="false" customHeight="true" outlineLevel="0" collapsed="false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</row>
    <row r="220" customFormat="false" ht="15.75" hidden="false" customHeight="true" outlineLevel="0" collapsed="false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</row>
    <row r="221" customFormat="false" ht="15.75" hidden="false" customHeight="true" outlineLevel="0" collapsed="false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</row>
    <row r="222" customFormat="false" ht="15.75" hidden="false" customHeight="true" outlineLevel="0" collapsed="false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</row>
    <row r="223" customFormat="false" ht="15.75" hidden="false" customHeight="true" outlineLevel="0" collapsed="false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</row>
    <row r="224" customFormat="false" ht="15.75" hidden="false" customHeight="true" outlineLevel="0" collapsed="false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</row>
    <row r="225" customFormat="false" ht="15.75" hidden="false" customHeight="true" outlineLevel="0" collapsed="false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</row>
    <row r="226" customFormat="false" ht="15.75" hidden="false" customHeight="true" outlineLevel="0" collapsed="false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</row>
    <row r="227" customFormat="false" ht="15.75" hidden="false" customHeight="true" outlineLevel="0" collapsed="false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</row>
    <row r="228" customFormat="false" ht="15.75" hidden="false" customHeight="true" outlineLevel="0" collapsed="false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</row>
    <row r="229" customFormat="false" ht="15.75" hidden="false" customHeight="true" outlineLevel="0" collapsed="false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</row>
    <row r="230" customFormat="false" ht="15.75" hidden="false" customHeight="true" outlineLevel="0" collapsed="false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</row>
    <row r="231" customFormat="false" ht="15.75" hidden="false" customHeight="true" outlineLevel="0" collapsed="false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</row>
    <row r="232" customFormat="false" ht="15.75" hidden="false" customHeight="true" outlineLevel="0" collapsed="false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</row>
    <row r="233" customFormat="false" ht="15.75" hidden="false" customHeight="true" outlineLevel="0" collapsed="false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</row>
    <row r="234" customFormat="false" ht="15.75" hidden="false" customHeight="true" outlineLevel="0" collapsed="false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</row>
    <row r="235" customFormat="false" ht="15.75" hidden="false" customHeight="true" outlineLevel="0" collapsed="false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</row>
    <row r="236" customFormat="false" ht="15.75" hidden="false" customHeight="true" outlineLevel="0" collapsed="false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</row>
    <row r="237" customFormat="false" ht="15.75" hidden="false" customHeight="true" outlineLevel="0" collapsed="false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</row>
    <row r="238" customFormat="false" ht="15.75" hidden="false" customHeight="true" outlineLevel="0" collapsed="false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</row>
    <row r="239" customFormat="false" ht="15.75" hidden="false" customHeight="true" outlineLevel="0" collapsed="false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</row>
    <row r="240" customFormat="false" ht="15.75" hidden="false" customHeight="true" outlineLevel="0" collapsed="false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</row>
    <row r="241" customFormat="false" ht="15.75" hidden="false" customHeight="true" outlineLevel="0" collapsed="false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</row>
    <row r="242" customFormat="false" ht="15.75" hidden="false" customHeight="true" outlineLevel="0" collapsed="false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</row>
    <row r="243" customFormat="false" ht="15.75" hidden="false" customHeight="true" outlineLevel="0" collapsed="false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</row>
    <row r="244" customFormat="false" ht="15.75" hidden="false" customHeight="true" outlineLevel="0" collapsed="false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</row>
    <row r="245" customFormat="false" ht="15.75" hidden="false" customHeight="true" outlineLevel="0" collapsed="false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</row>
    <row r="246" customFormat="false" ht="15.75" hidden="false" customHeight="true" outlineLevel="0" collapsed="false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</row>
    <row r="247" customFormat="false" ht="15.75" hidden="false" customHeight="true" outlineLevel="0" collapsed="false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</row>
    <row r="248" customFormat="false" ht="15.75" hidden="false" customHeight="true" outlineLevel="0" collapsed="false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</row>
    <row r="249" customFormat="false" ht="15.75" hidden="false" customHeight="true" outlineLevel="0" collapsed="false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</row>
    <row r="250" customFormat="false" ht="15.75" hidden="false" customHeight="true" outlineLevel="0" collapsed="false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</row>
    <row r="251" customFormat="false" ht="15.75" hidden="false" customHeight="true" outlineLevel="0" collapsed="false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</row>
    <row r="252" customFormat="false" ht="15.75" hidden="false" customHeight="true" outlineLevel="0" collapsed="false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</row>
    <row r="253" customFormat="false" ht="15.75" hidden="false" customHeight="true" outlineLevel="0" collapsed="false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</row>
    <row r="254" customFormat="false" ht="15.75" hidden="false" customHeight="true" outlineLevel="0" collapsed="false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</row>
    <row r="255" customFormat="false" ht="15.75" hidden="false" customHeight="true" outlineLevel="0" collapsed="false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</row>
    <row r="256" customFormat="false" ht="15.75" hidden="false" customHeight="true" outlineLevel="0" collapsed="false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</row>
    <row r="257" customFormat="false" ht="15.75" hidden="false" customHeight="true" outlineLevel="0" collapsed="false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</row>
    <row r="258" customFormat="false" ht="15.75" hidden="false" customHeight="true" outlineLevel="0" collapsed="false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</row>
    <row r="259" customFormat="false" ht="15.75" hidden="false" customHeight="true" outlineLevel="0" collapsed="false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</row>
    <row r="260" customFormat="false" ht="15.75" hidden="false" customHeight="true" outlineLevel="0" collapsed="false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</row>
    <row r="261" customFormat="false" ht="15.75" hidden="false" customHeight="true" outlineLevel="0" collapsed="false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</row>
    <row r="262" customFormat="false" ht="15.75" hidden="false" customHeight="true" outlineLevel="0" collapsed="false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</row>
    <row r="263" customFormat="false" ht="15.75" hidden="false" customHeight="true" outlineLevel="0" collapsed="false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</row>
    <row r="264" customFormat="false" ht="15.75" hidden="false" customHeight="true" outlineLevel="0" collapsed="false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</row>
    <row r="265" customFormat="false" ht="15.75" hidden="false" customHeight="true" outlineLevel="0" collapsed="false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</row>
    <row r="266" customFormat="false" ht="15.75" hidden="false" customHeight="true" outlineLevel="0" collapsed="false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</row>
    <row r="267" customFormat="false" ht="15.75" hidden="false" customHeight="true" outlineLevel="0" collapsed="false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</row>
    <row r="268" customFormat="false" ht="15.75" hidden="false" customHeight="true" outlineLevel="0" collapsed="false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</row>
    <row r="269" customFormat="false" ht="15.75" hidden="false" customHeight="true" outlineLevel="0" collapsed="false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</row>
    <row r="270" customFormat="false" ht="15.75" hidden="false" customHeight="true" outlineLevel="0" collapsed="false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</row>
    <row r="271" customFormat="false" ht="15.75" hidden="false" customHeight="true" outlineLevel="0" collapsed="false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</row>
    <row r="272" customFormat="false" ht="15.75" hidden="false" customHeight="true" outlineLevel="0" collapsed="false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</row>
    <row r="273" customFormat="false" ht="15.75" hidden="false" customHeight="true" outlineLevel="0" collapsed="false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</row>
    <row r="274" customFormat="false" ht="15.75" hidden="false" customHeight="true" outlineLevel="0" collapsed="false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</row>
    <row r="275" customFormat="false" ht="15.75" hidden="false" customHeight="true" outlineLevel="0" collapsed="false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</row>
    <row r="276" customFormat="false" ht="15.75" hidden="false" customHeight="true" outlineLevel="0" collapsed="false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</row>
    <row r="277" customFormat="false" ht="15.75" hidden="false" customHeight="true" outlineLevel="0" collapsed="false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</row>
    <row r="278" customFormat="false" ht="15.75" hidden="false" customHeight="true" outlineLevel="0" collapsed="false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</row>
    <row r="279" customFormat="false" ht="15.75" hidden="false" customHeight="true" outlineLevel="0" collapsed="false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</row>
    <row r="280" customFormat="false" ht="15.75" hidden="false" customHeight="true" outlineLevel="0" collapsed="false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</row>
    <row r="281" customFormat="false" ht="15.75" hidden="false" customHeight="true" outlineLevel="0" collapsed="false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</row>
    <row r="282" customFormat="false" ht="15.75" hidden="false" customHeight="true" outlineLevel="0" collapsed="false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</row>
    <row r="283" customFormat="false" ht="15.75" hidden="false" customHeight="true" outlineLevel="0" collapsed="false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</row>
    <row r="284" customFormat="false" ht="15.75" hidden="false" customHeight="true" outlineLevel="0" collapsed="false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</row>
    <row r="285" customFormat="false" ht="15.75" hidden="false" customHeight="true" outlineLevel="0" collapsed="false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</row>
    <row r="286" customFormat="false" ht="15.75" hidden="false" customHeight="true" outlineLevel="0" collapsed="false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</row>
    <row r="287" customFormat="false" ht="15.75" hidden="false" customHeight="true" outlineLevel="0" collapsed="false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</row>
    <row r="288" customFormat="false" ht="15.75" hidden="false" customHeight="true" outlineLevel="0" collapsed="false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</row>
    <row r="289" customFormat="false" ht="15.75" hidden="false" customHeight="true" outlineLevel="0" collapsed="false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</row>
    <row r="290" customFormat="false" ht="15.75" hidden="false" customHeight="true" outlineLevel="0" collapsed="false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</row>
    <row r="291" customFormat="false" ht="15.75" hidden="false" customHeight="true" outlineLevel="0" collapsed="false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</row>
    <row r="292" customFormat="false" ht="15.75" hidden="false" customHeight="true" outlineLevel="0" collapsed="false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</row>
    <row r="293" customFormat="false" ht="15.75" hidden="false" customHeight="true" outlineLevel="0" collapsed="false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</row>
    <row r="294" customFormat="false" ht="15.75" hidden="false" customHeight="true" outlineLevel="0" collapsed="false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</row>
    <row r="295" customFormat="false" ht="15.75" hidden="false" customHeight="true" outlineLevel="0" collapsed="false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</row>
    <row r="296" customFormat="false" ht="15.75" hidden="false" customHeight="true" outlineLevel="0" collapsed="false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</row>
    <row r="297" customFormat="false" ht="15.75" hidden="false" customHeight="true" outlineLevel="0" collapsed="false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</row>
    <row r="298" customFormat="false" ht="15.75" hidden="false" customHeight="true" outlineLevel="0" collapsed="false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</row>
    <row r="299" customFormat="false" ht="15.75" hidden="false" customHeight="true" outlineLevel="0" collapsed="false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</row>
    <row r="300" customFormat="false" ht="15.75" hidden="false" customHeight="true" outlineLevel="0" collapsed="false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</row>
    <row r="301" customFormat="false" ht="15.75" hidden="false" customHeight="true" outlineLevel="0" collapsed="false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</row>
    <row r="302" customFormat="false" ht="15.75" hidden="false" customHeight="true" outlineLevel="0" collapsed="false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</row>
    <row r="303" customFormat="false" ht="15.75" hidden="false" customHeight="true" outlineLevel="0" collapsed="false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</row>
    <row r="304" customFormat="false" ht="15.75" hidden="false" customHeight="true" outlineLevel="0" collapsed="false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</row>
    <row r="305" customFormat="false" ht="15.75" hidden="false" customHeight="true" outlineLevel="0" collapsed="false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</row>
    <row r="306" customFormat="false" ht="15.75" hidden="false" customHeight="true" outlineLevel="0" collapsed="false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</row>
    <row r="307" customFormat="false" ht="15.75" hidden="false" customHeight="true" outlineLevel="0" collapsed="false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</row>
    <row r="308" customFormat="false" ht="15.75" hidden="false" customHeight="true" outlineLevel="0" collapsed="false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</row>
    <row r="309" customFormat="false" ht="15.75" hidden="false" customHeight="true" outlineLevel="0" collapsed="false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</row>
    <row r="310" customFormat="false" ht="15.75" hidden="false" customHeight="true" outlineLevel="0" collapsed="false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</row>
    <row r="311" customFormat="false" ht="15.75" hidden="false" customHeight="true" outlineLevel="0" collapsed="false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</row>
    <row r="312" customFormat="false" ht="15.75" hidden="false" customHeight="true" outlineLevel="0" collapsed="false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</row>
    <row r="313" customFormat="false" ht="15.75" hidden="false" customHeight="true" outlineLevel="0" collapsed="false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</row>
    <row r="314" customFormat="false" ht="15.75" hidden="false" customHeight="true" outlineLevel="0" collapsed="false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</row>
    <row r="315" customFormat="false" ht="15.75" hidden="false" customHeight="true" outlineLevel="0" collapsed="false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</row>
    <row r="316" customFormat="false" ht="15.75" hidden="false" customHeight="true" outlineLevel="0" collapsed="false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</row>
    <row r="317" customFormat="false" ht="15.75" hidden="false" customHeight="true" outlineLevel="0" collapsed="false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</row>
    <row r="318" customFormat="false" ht="15.75" hidden="false" customHeight="true" outlineLevel="0" collapsed="false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</row>
    <row r="319" customFormat="false" ht="15.75" hidden="false" customHeight="true" outlineLevel="0" collapsed="false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</row>
    <row r="320" customFormat="false" ht="15.75" hidden="false" customHeight="true" outlineLevel="0" collapsed="false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</row>
    <row r="321" customFormat="false" ht="15.75" hidden="false" customHeight="true" outlineLevel="0" collapsed="false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</row>
    <row r="322" customFormat="false" ht="15.75" hidden="false" customHeight="true" outlineLevel="0" collapsed="false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</row>
    <row r="323" customFormat="false" ht="15.75" hidden="false" customHeight="true" outlineLevel="0" collapsed="false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</row>
    <row r="324" customFormat="false" ht="15.75" hidden="false" customHeight="true" outlineLevel="0" collapsed="false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</row>
    <row r="325" customFormat="false" ht="15.75" hidden="false" customHeight="true" outlineLevel="0" collapsed="false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</row>
    <row r="326" customFormat="false" ht="15.75" hidden="false" customHeight="true" outlineLevel="0" collapsed="false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</row>
    <row r="327" customFormat="false" ht="15.75" hidden="false" customHeight="true" outlineLevel="0" collapsed="false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</row>
    <row r="328" customFormat="false" ht="15.75" hidden="false" customHeight="true" outlineLevel="0" collapsed="false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</row>
    <row r="329" customFormat="false" ht="15.75" hidden="false" customHeight="true" outlineLevel="0" collapsed="false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</row>
    <row r="330" customFormat="false" ht="15.75" hidden="false" customHeight="true" outlineLevel="0" collapsed="false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</row>
    <row r="331" customFormat="false" ht="15.75" hidden="false" customHeight="true" outlineLevel="0" collapsed="false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</row>
    <row r="332" customFormat="false" ht="15.75" hidden="false" customHeight="true" outlineLevel="0" collapsed="false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</row>
    <row r="333" customFormat="false" ht="15.75" hidden="false" customHeight="true" outlineLevel="0" collapsed="false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</row>
    <row r="334" customFormat="false" ht="15.75" hidden="false" customHeight="true" outlineLevel="0" collapsed="false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</row>
    <row r="335" customFormat="false" ht="15.75" hidden="false" customHeight="true" outlineLevel="0" collapsed="false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</row>
    <row r="336" customFormat="false" ht="15.75" hidden="false" customHeight="true" outlineLevel="0" collapsed="false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</row>
    <row r="337" customFormat="false" ht="15.75" hidden="false" customHeight="true" outlineLevel="0" collapsed="false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</row>
    <row r="338" customFormat="false" ht="15.75" hidden="false" customHeight="true" outlineLevel="0" collapsed="false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</row>
    <row r="339" customFormat="false" ht="15.75" hidden="false" customHeight="true" outlineLevel="0" collapsed="false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</row>
    <row r="340" customFormat="false" ht="15.75" hidden="false" customHeight="true" outlineLevel="0" collapsed="false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</row>
    <row r="341" customFormat="false" ht="15.75" hidden="false" customHeight="true" outlineLevel="0" collapsed="false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</row>
    <row r="342" customFormat="false" ht="15.75" hidden="false" customHeight="true" outlineLevel="0" collapsed="false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</row>
    <row r="343" customFormat="false" ht="15.75" hidden="false" customHeight="true" outlineLevel="0" collapsed="false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</row>
    <row r="344" customFormat="false" ht="15.75" hidden="false" customHeight="true" outlineLevel="0" collapsed="false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</row>
    <row r="345" customFormat="false" ht="15.75" hidden="false" customHeight="true" outlineLevel="0" collapsed="false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</row>
    <row r="346" customFormat="false" ht="15.75" hidden="false" customHeight="true" outlineLevel="0" collapsed="false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</row>
    <row r="347" customFormat="false" ht="15.75" hidden="false" customHeight="true" outlineLevel="0" collapsed="false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</row>
    <row r="348" customFormat="false" ht="15.75" hidden="false" customHeight="true" outlineLevel="0" collapsed="false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</row>
    <row r="349" customFormat="false" ht="15.75" hidden="false" customHeight="true" outlineLevel="0" collapsed="false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</row>
    <row r="350" customFormat="false" ht="15.75" hidden="false" customHeight="true" outlineLevel="0" collapsed="false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</row>
    <row r="351" customFormat="false" ht="15.75" hidden="false" customHeight="true" outlineLevel="0" collapsed="false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</row>
    <row r="352" customFormat="false" ht="15.75" hidden="false" customHeight="true" outlineLevel="0" collapsed="false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</row>
    <row r="353" customFormat="false" ht="15.75" hidden="false" customHeight="true" outlineLevel="0" collapsed="false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</row>
    <row r="354" customFormat="false" ht="15.75" hidden="false" customHeight="true" outlineLevel="0" collapsed="false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</row>
    <row r="355" customFormat="false" ht="15.75" hidden="false" customHeight="true" outlineLevel="0" collapsed="false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</row>
    <row r="356" customFormat="false" ht="15.75" hidden="false" customHeight="true" outlineLevel="0" collapsed="false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</row>
    <row r="357" customFormat="false" ht="15.75" hidden="false" customHeight="true" outlineLevel="0" collapsed="false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</row>
    <row r="358" customFormat="false" ht="15.75" hidden="false" customHeight="true" outlineLevel="0" collapsed="false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</row>
    <row r="359" customFormat="false" ht="15.75" hidden="false" customHeight="true" outlineLevel="0" collapsed="false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</row>
    <row r="360" customFormat="false" ht="15.75" hidden="false" customHeight="true" outlineLevel="0" collapsed="false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</row>
    <row r="361" customFormat="false" ht="15.75" hidden="false" customHeight="true" outlineLevel="0" collapsed="false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</row>
    <row r="362" customFormat="false" ht="15.75" hidden="false" customHeight="true" outlineLevel="0" collapsed="false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</row>
    <row r="363" customFormat="false" ht="15.75" hidden="false" customHeight="true" outlineLevel="0" collapsed="false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</row>
    <row r="364" customFormat="false" ht="15.75" hidden="false" customHeight="true" outlineLevel="0" collapsed="false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</row>
    <row r="365" customFormat="false" ht="15.75" hidden="false" customHeight="true" outlineLevel="0" collapsed="false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</row>
    <row r="366" customFormat="false" ht="15.75" hidden="false" customHeight="true" outlineLevel="0" collapsed="false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</row>
    <row r="367" customFormat="false" ht="15.75" hidden="false" customHeight="true" outlineLevel="0" collapsed="false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</row>
    <row r="368" customFormat="false" ht="15.75" hidden="false" customHeight="true" outlineLevel="0" collapsed="false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</row>
    <row r="369" customFormat="false" ht="15.75" hidden="false" customHeight="true" outlineLevel="0" collapsed="false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</row>
    <row r="370" customFormat="false" ht="15.75" hidden="false" customHeight="true" outlineLevel="0" collapsed="false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</row>
    <row r="371" customFormat="false" ht="15.75" hidden="false" customHeight="true" outlineLevel="0" collapsed="false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</row>
    <row r="372" customFormat="false" ht="15.75" hidden="false" customHeight="true" outlineLevel="0" collapsed="false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</row>
    <row r="373" customFormat="false" ht="15.75" hidden="false" customHeight="true" outlineLevel="0" collapsed="false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</row>
    <row r="374" customFormat="false" ht="15.75" hidden="false" customHeight="true" outlineLevel="0" collapsed="false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</row>
    <row r="375" customFormat="false" ht="15.75" hidden="false" customHeight="true" outlineLevel="0" collapsed="false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</row>
    <row r="376" customFormat="false" ht="15.75" hidden="false" customHeight="true" outlineLevel="0" collapsed="false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</row>
    <row r="377" customFormat="false" ht="15.75" hidden="false" customHeight="true" outlineLevel="0" collapsed="false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</row>
    <row r="378" customFormat="false" ht="15.75" hidden="false" customHeight="true" outlineLevel="0" collapsed="false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</row>
    <row r="379" customFormat="false" ht="15.75" hidden="false" customHeight="true" outlineLevel="0" collapsed="false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</row>
    <row r="380" customFormat="false" ht="15.75" hidden="false" customHeight="true" outlineLevel="0" collapsed="false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</row>
    <row r="381" customFormat="false" ht="15.75" hidden="false" customHeight="true" outlineLevel="0" collapsed="false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</row>
    <row r="382" customFormat="false" ht="15.75" hidden="false" customHeight="true" outlineLevel="0" collapsed="false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</row>
    <row r="383" customFormat="false" ht="15.75" hidden="false" customHeight="true" outlineLevel="0" collapsed="false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</row>
    <row r="384" customFormat="false" ht="15.75" hidden="false" customHeight="true" outlineLevel="0" collapsed="false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</row>
    <row r="385" customFormat="false" ht="15.75" hidden="false" customHeight="true" outlineLevel="0" collapsed="false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</row>
    <row r="386" customFormat="false" ht="15.75" hidden="false" customHeight="true" outlineLevel="0" collapsed="false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</row>
    <row r="387" customFormat="false" ht="15.75" hidden="false" customHeight="true" outlineLevel="0" collapsed="false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</row>
    <row r="388" customFormat="false" ht="15.75" hidden="false" customHeight="true" outlineLevel="0" collapsed="false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</row>
    <row r="389" customFormat="false" ht="15.75" hidden="false" customHeight="true" outlineLevel="0" collapsed="false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</row>
    <row r="390" customFormat="false" ht="15.75" hidden="false" customHeight="true" outlineLevel="0" collapsed="false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</row>
    <row r="391" customFormat="false" ht="15.75" hidden="false" customHeight="true" outlineLevel="0" collapsed="false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</row>
    <row r="392" customFormat="false" ht="15.75" hidden="false" customHeight="true" outlineLevel="0" collapsed="false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</row>
    <row r="393" customFormat="false" ht="15.75" hidden="false" customHeight="true" outlineLevel="0" collapsed="false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</row>
    <row r="394" customFormat="false" ht="15.75" hidden="false" customHeight="true" outlineLevel="0" collapsed="false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</row>
    <row r="395" customFormat="false" ht="15.75" hidden="false" customHeight="true" outlineLevel="0" collapsed="false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</row>
    <row r="396" customFormat="false" ht="15.75" hidden="false" customHeight="true" outlineLevel="0" collapsed="false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</row>
    <row r="397" customFormat="false" ht="15.75" hidden="false" customHeight="true" outlineLevel="0" collapsed="false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</row>
    <row r="398" customFormat="false" ht="15.75" hidden="false" customHeight="true" outlineLevel="0" collapsed="false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</row>
    <row r="399" customFormat="false" ht="15.75" hidden="false" customHeight="true" outlineLevel="0" collapsed="false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</row>
    <row r="400" customFormat="false" ht="15.75" hidden="false" customHeight="true" outlineLevel="0" collapsed="false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</row>
    <row r="401" customFormat="false" ht="15.75" hidden="false" customHeight="true" outlineLevel="0" collapsed="false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</row>
    <row r="402" customFormat="false" ht="15.75" hidden="false" customHeight="true" outlineLevel="0" collapsed="false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</row>
    <row r="403" customFormat="false" ht="15.75" hidden="false" customHeight="true" outlineLevel="0" collapsed="false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</row>
    <row r="404" customFormat="false" ht="15.75" hidden="false" customHeight="true" outlineLevel="0" collapsed="false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</row>
    <row r="405" customFormat="false" ht="15.75" hidden="false" customHeight="true" outlineLevel="0" collapsed="false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</row>
    <row r="406" customFormat="false" ht="15.75" hidden="false" customHeight="true" outlineLevel="0" collapsed="false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</row>
    <row r="407" customFormat="false" ht="15.75" hidden="false" customHeight="true" outlineLevel="0" collapsed="false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</row>
    <row r="408" customFormat="false" ht="15.75" hidden="false" customHeight="true" outlineLevel="0" collapsed="false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</row>
    <row r="409" customFormat="false" ht="15.75" hidden="false" customHeight="true" outlineLevel="0" collapsed="false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</row>
    <row r="410" customFormat="false" ht="15.75" hidden="false" customHeight="true" outlineLevel="0" collapsed="false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</row>
    <row r="411" customFormat="false" ht="15.75" hidden="false" customHeight="true" outlineLevel="0" collapsed="false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</row>
    <row r="412" customFormat="false" ht="15.75" hidden="false" customHeight="true" outlineLevel="0" collapsed="false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</row>
    <row r="413" customFormat="false" ht="15.75" hidden="false" customHeight="true" outlineLevel="0" collapsed="false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</row>
    <row r="414" customFormat="false" ht="15.75" hidden="false" customHeight="true" outlineLevel="0" collapsed="false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</row>
    <row r="415" customFormat="false" ht="15.75" hidden="false" customHeight="true" outlineLevel="0" collapsed="false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</row>
    <row r="416" customFormat="false" ht="15.75" hidden="false" customHeight="true" outlineLevel="0" collapsed="false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</row>
    <row r="417" customFormat="false" ht="15.75" hidden="false" customHeight="true" outlineLevel="0" collapsed="false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</row>
    <row r="418" customFormat="false" ht="15.75" hidden="false" customHeight="true" outlineLevel="0" collapsed="false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</row>
    <row r="419" customFormat="false" ht="15.75" hidden="false" customHeight="true" outlineLevel="0" collapsed="false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</row>
    <row r="420" customFormat="false" ht="15.75" hidden="false" customHeight="true" outlineLevel="0" collapsed="false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</row>
    <row r="421" customFormat="false" ht="15.75" hidden="false" customHeight="true" outlineLevel="0" collapsed="false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</row>
    <row r="422" customFormat="false" ht="15.75" hidden="false" customHeight="true" outlineLevel="0" collapsed="false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</row>
    <row r="423" customFormat="false" ht="15.75" hidden="false" customHeight="true" outlineLevel="0" collapsed="false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</row>
    <row r="424" customFormat="false" ht="15.75" hidden="false" customHeight="true" outlineLevel="0" collapsed="false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</row>
    <row r="425" customFormat="false" ht="15.75" hidden="false" customHeight="true" outlineLevel="0" collapsed="false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</row>
    <row r="426" customFormat="false" ht="15.75" hidden="false" customHeight="true" outlineLevel="0" collapsed="false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</row>
    <row r="427" customFormat="false" ht="15.75" hidden="false" customHeight="true" outlineLevel="0" collapsed="false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</row>
    <row r="428" customFormat="false" ht="15.75" hidden="false" customHeight="true" outlineLevel="0" collapsed="false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</row>
    <row r="429" customFormat="false" ht="15.75" hidden="false" customHeight="true" outlineLevel="0" collapsed="false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</row>
    <row r="430" customFormat="false" ht="15.75" hidden="false" customHeight="true" outlineLevel="0" collapsed="false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</row>
    <row r="431" customFormat="false" ht="15.75" hidden="false" customHeight="true" outlineLevel="0" collapsed="false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</row>
    <row r="432" customFormat="false" ht="15.75" hidden="false" customHeight="true" outlineLevel="0" collapsed="false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</row>
    <row r="433" customFormat="false" ht="15.75" hidden="false" customHeight="true" outlineLevel="0" collapsed="false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</row>
    <row r="434" customFormat="false" ht="15.75" hidden="false" customHeight="true" outlineLevel="0" collapsed="false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</row>
    <row r="435" customFormat="false" ht="15.75" hidden="false" customHeight="true" outlineLevel="0" collapsed="false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</row>
    <row r="436" customFormat="false" ht="15.75" hidden="false" customHeight="true" outlineLevel="0" collapsed="false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</row>
    <row r="437" customFormat="false" ht="15.75" hidden="false" customHeight="true" outlineLevel="0" collapsed="false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</row>
    <row r="438" customFormat="false" ht="15.75" hidden="false" customHeight="true" outlineLevel="0" collapsed="false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</row>
    <row r="439" customFormat="false" ht="15.75" hidden="false" customHeight="true" outlineLevel="0" collapsed="false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</row>
    <row r="440" customFormat="false" ht="15.75" hidden="false" customHeight="true" outlineLevel="0" collapsed="false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</row>
    <row r="441" customFormat="false" ht="15.75" hidden="false" customHeight="true" outlineLevel="0" collapsed="false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</row>
    <row r="442" customFormat="false" ht="15.75" hidden="false" customHeight="true" outlineLevel="0" collapsed="false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</row>
    <row r="443" customFormat="false" ht="15.75" hidden="false" customHeight="true" outlineLevel="0" collapsed="false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</row>
    <row r="444" customFormat="false" ht="15.75" hidden="false" customHeight="true" outlineLevel="0" collapsed="false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</row>
    <row r="445" customFormat="false" ht="15.75" hidden="false" customHeight="true" outlineLevel="0" collapsed="false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</row>
    <row r="446" customFormat="false" ht="15.75" hidden="false" customHeight="true" outlineLevel="0" collapsed="false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</row>
    <row r="447" customFormat="false" ht="15.75" hidden="false" customHeight="true" outlineLevel="0" collapsed="false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</row>
    <row r="448" customFormat="false" ht="15.75" hidden="false" customHeight="true" outlineLevel="0" collapsed="false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</row>
    <row r="449" customFormat="false" ht="15.75" hidden="false" customHeight="true" outlineLevel="0" collapsed="false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</row>
    <row r="450" customFormat="false" ht="15.75" hidden="false" customHeight="true" outlineLevel="0" collapsed="false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</row>
    <row r="451" customFormat="false" ht="15.75" hidden="false" customHeight="true" outlineLevel="0" collapsed="false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</row>
    <row r="452" customFormat="false" ht="15.75" hidden="false" customHeight="true" outlineLevel="0" collapsed="false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</row>
    <row r="453" customFormat="false" ht="15.75" hidden="false" customHeight="true" outlineLevel="0" collapsed="false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</row>
    <row r="454" customFormat="false" ht="15.75" hidden="false" customHeight="true" outlineLevel="0" collapsed="false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</row>
    <row r="455" customFormat="false" ht="15.75" hidden="false" customHeight="true" outlineLevel="0" collapsed="false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</row>
    <row r="456" customFormat="false" ht="15.75" hidden="false" customHeight="true" outlineLevel="0" collapsed="false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</row>
    <row r="457" customFormat="false" ht="15.75" hidden="false" customHeight="true" outlineLevel="0" collapsed="false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</row>
    <row r="458" customFormat="false" ht="15.75" hidden="false" customHeight="true" outlineLevel="0" collapsed="false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</row>
    <row r="459" customFormat="false" ht="15.75" hidden="false" customHeight="true" outlineLevel="0" collapsed="false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</row>
    <row r="460" customFormat="false" ht="15.75" hidden="false" customHeight="true" outlineLevel="0" collapsed="false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</row>
    <row r="461" customFormat="false" ht="15.75" hidden="false" customHeight="true" outlineLevel="0" collapsed="false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</row>
    <row r="462" customFormat="false" ht="15.75" hidden="false" customHeight="true" outlineLevel="0" collapsed="false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</row>
    <row r="463" customFormat="false" ht="15.75" hidden="false" customHeight="true" outlineLevel="0" collapsed="false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</row>
    <row r="464" customFormat="false" ht="15.75" hidden="false" customHeight="true" outlineLevel="0" collapsed="false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</row>
    <row r="465" customFormat="false" ht="15.75" hidden="false" customHeight="true" outlineLevel="0" collapsed="false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</row>
    <row r="466" customFormat="false" ht="15.75" hidden="false" customHeight="true" outlineLevel="0" collapsed="false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</row>
    <row r="467" customFormat="false" ht="15.75" hidden="false" customHeight="true" outlineLevel="0" collapsed="false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</row>
    <row r="468" customFormat="false" ht="15.75" hidden="false" customHeight="true" outlineLevel="0" collapsed="false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</row>
    <row r="469" customFormat="false" ht="15.75" hidden="false" customHeight="true" outlineLevel="0" collapsed="false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</row>
    <row r="470" customFormat="false" ht="15.75" hidden="false" customHeight="true" outlineLevel="0" collapsed="false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</row>
    <row r="471" customFormat="false" ht="15.75" hidden="false" customHeight="true" outlineLevel="0" collapsed="false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</row>
    <row r="472" customFormat="false" ht="15.75" hidden="false" customHeight="true" outlineLevel="0" collapsed="false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</row>
    <row r="473" customFormat="false" ht="15.75" hidden="false" customHeight="true" outlineLevel="0" collapsed="false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</row>
    <row r="474" customFormat="false" ht="15.75" hidden="false" customHeight="true" outlineLevel="0" collapsed="false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</row>
    <row r="475" customFormat="false" ht="15.75" hidden="false" customHeight="true" outlineLevel="0" collapsed="false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</row>
    <row r="476" customFormat="false" ht="15.75" hidden="false" customHeight="true" outlineLevel="0" collapsed="false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</row>
    <row r="477" customFormat="false" ht="15.75" hidden="false" customHeight="true" outlineLevel="0" collapsed="false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</row>
    <row r="478" customFormat="false" ht="15.75" hidden="false" customHeight="true" outlineLevel="0" collapsed="false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</row>
    <row r="479" customFormat="false" ht="15.75" hidden="false" customHeight="true" outlineLevel="0" collapsed="false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</row>
    <row r="480" customFormat="false" ht="15.75" hidden="false" customHeight="true" outlineLevel="0" collapsed="false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</row>
    <row r="481" customFormat="false" ht="15.75" hidden="false" customHeight="true" outlineLevel="0" collapsed="false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</row>
    <row r="482" customFormat="false" ht="15.75" hidden="false" customHeight="true" outlineLevel="0" collapsed="false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</row>
    <row r="483" customFormat="false" ht="15.75" hidden="false" customHeight="true" outlineLevel="0" collapsed="false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</row>
    <row r="484" customFormat="false" ht="15.75" hidden="false" customHeight="true" outlineLevel="0" collapsed="false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</row>
    <row r="485" customFormat="false" ht="15.75" hidden="false" customHeight="true" outlineLevel="0" collapsed="false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</row>
    <row r="486" customFormat="false" ht="15.75" hidden="false" customHeight="true" outlineLevel="0" collapsed="false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</row>
    <row r="487" customFormat="false" ht="15.75" hidden="false" customHeight="true" outlineLevel="0" collapsed="false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</row>
    <row r="488" customFormat="false" ht="15.75" hidden="false" customHeight="true" outlineLevel="0" collapsed="false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</row>
    <row r="489" customFormat="false" ht="15.75" hidden="false" customHeight="true" outlineLevel="0" collapsed="false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</row>
    <row r="490" customFormat="false" ht="15.75" hidden="false" customHeight="true" outlineLevel="0" collapsed="false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</row>
    <row r="491" customFormat="false" ht="15.75" hidden="false" customHeight="true" outlineLevel="0" collapsed="false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</row>
    <row r="492" customFormat="false" ht="15.75" hidden="false" customHeight="true" outlineLevel="0" collapsed="false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</row>
    <row r="493" customFormat="false" ht="15.75" hidden="false" customHeight="true" outlineLevel="0" collapsed="false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</row>
    <row r="494" customFormat="false" ht="15.75" hidden="false" customHeight="true" outlineLevel="0" collapsed="false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</row>
    <row r="495" customFormat="false" ht="15.75" hidden="false" customHeight="true" outlineLevel="0" collapsed="false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</row>
    <row r="496" customFormat="false" ht="15.75" hidden="false" customHeight="true" outlineLevel="0" collapsed="false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</row>
    <row r="497" customFormat="false" ht="15.75" hidden="false" customHeight="true" outlineLevel="0" collapsed="false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</row>
    <row r="498" customFormat="false" ht="15.75" hidden="false" customHeight="true" outlineLevel="0" collapsed="false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</row>
    <row r="499" customFormat="false" ht="15.75" hidden="false" customHeight="true" outlineLevel="0" collapsed="false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</row>
    <row r="500" customFormat="false" ht="15.75" hidden="false" customHeight="true" outlineLevel="0" collapsed="false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</row>
    <row r="501" customFormat="false" ht="15.75" hidden="false" customHeight="true" outlineLevel="0" collapsed="false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</row>
    <row r="502" customFormat="false" ht="15.75" hidden="false" customHeight="true" outlineLevel="0" collapsed="false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</row>
    <row r="503" customFormat="false" ht="15.75" hidden="false" customHeight="true" outlineLevel="0" collapsed="false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</row>
    <row r="504" customFormat="false" ht="15.75" hidden="false" customHeight="true" outlineLevel="0" collapsed="false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</row>
    <row r="505" customFormat="false" ht="15.75" hidden="false" customHeight="true" outlineLevel="0" collapsed="false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</row>
    <row r="506" customFormat="false" ht="15.75" hidden="false" customHeight="true" outlineLevel="0" collapsed="false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</row>
    <row r="507" customFormat="false" ht="15.75" hidden="false" customHeight="true" outlineLevel="0" collapsed="false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</row>
    <row r="508" customFormat="false" ht="15.75" hidden="false" customHeight="true" outlineLevel="0" collapsed="false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</row>
    <row r="509" customFormat="false" ht="15.75" hidden="false" customHeight="true" outlineLevel="0" collapsed="false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</row>
    <row r="510" customFormat="false" ht="15.75" hidden="false" customHeight="true" outlineLevel="0" collapsed="false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</row>
    <row r="511" customFormat="false" ht="15.75" hidden="false" customHeight="true" outlineLevel="0" collapsed="false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</row>
    <row r="512" customFormat="false" ht="15.75" hidden="false" customHeight="true" outlineLevel="0" collapsed="false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</row>
    <row r="513" customFormat="false" ht="15.75" hidden="false" customHeight="true" outlineLevel="0" collapsed="false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</row>
    <row r="514" customFormat="false" ht="15.75" hidden="false" customHeight="true" outlineLevel="0" collapsed="false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</row>
    <row r="515" customFormat="false" ht="15.75" hidden="false" customHeight="true" outlineLevel="0" collapsed="false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</row>
    <row r="516" customFormat="false" ht="15.75" hidden="false" customHeight="true" outlineLevel="0" collapsed="false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</row>
    <row r="517" customFormat="false" ht="15.75" hidden="false" customHeight="true" outlineLevel="0" collapsed="false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</row>
    <row r="518" customFormat="false" ht="15.75" hidden="false" customHeight="true" outlineLevel="0" collapsed="false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</row>
    <row r="519" customFormat="false" ht="15.75" hidden="false" customHeight="true" outlineLevel="0" collapsed="false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</row>
    <row r="520" customFormat="false" ht="15.75" hidden="false" customHeight="true" outlineLevel="0" collapsed="false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</row>
    <row r="521" customFormat="false" ht="15.75" hidden="false" customHeight="true" outlineLevel="0" collapsed="false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</row>
    <row r="522" customFormat="false" ht="15.75" hidden="false" customHeight="true" outlineLevel="0" collapsed="false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</row>
    <row r="523" customFormat="false" ht="15.75" hidden="false" customHeight="true" outlineLevel="0" collapsed="false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</row>
    <row r="524" customFormat="false" ht="15.75" hidden="false" customHeight="true" outlineLevel="0" collapsed="false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</row>
    <row r="525" customFormat="false" ht="15.75" hidden="false" customHeight="true" outlineLevel="0" collapsed="false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</row>
    <row r="526" customFormat="false" ht="15.75" hidden="false" customHeight="true" outlineLevel="0" collapsed="false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</row>
    <row r="527" customFormat="false" ht="15.75" hidden="false" customHeight="true" outlineLevel="0" collapsed="false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</row>
    <row r="528" customFormat="false" ht="15.75" hidden="false" customHeight="true" outlineLevel="0" collapsed="false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</row>
    <row r="529" customFormat="false" ht="15.75" hidden="false" customHeight="true" outlineLevel="0" collapsed="false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</row>
    <row r="530" customFormat="false" ht="15.75" hidden="false" customHeight="true" outlineLevel="0" collapsed="false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</row>
    <row r="531" customFormat="false" ht="15.75" hidden="false" customHeight="true" outlineLevel="0" collapsed="false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</row>
    <row r="532" customFormat="false" ht="15.75" hidden="false" customHeight="true" outlineLevel="0" collapsed="false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</row>
    <row r="533" customFormat="false" ht="15.75" hidden="false" customHeight="true" outlineLevel="0" collapsed="false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</row>
    <row r="534" customFormat="false" ht="15.75" hidden="false" customHeight="true" outlineLevel="0" collapsed="false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</row>
    <row r="535" customFormat="false" ht="15.75" hidden="false" customHeight="true" outlineLevel="0" collapsed="false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</row>
    <row r="536" customFormat="false" ht="15.75" hidden="false" customHeight="true" outlineLevel="0" collapsed="false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</row>
    <row r="537" customFormat="false" ht="15.75" hidden="false" customHeight="true" outlineLevel="0" collapsed="false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</row>
    <row r="538" customFormat="false" ht="15.75" hidden="false" customHeight="true" outlineLevel="0" collapsed="false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</row>
    <row r="539" customFormat="false" ht="15.75" hidden="false" customHeight="true" outlineLevel="0" collapsed="false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</row>
    <row r="540" customFormat="false" ht="15.75" hidden="false" customHeight="true" outlineLevel="0" collapsed="false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</row>
    <row r="541" customFormat="false" ht="15.75" hidden="false" customHeight="true" outlineLevel="0" collapsed="false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</row>
    <row r="542" customFormat="false" ht="15.75" hidden="false" customHeight="true" outlineLevel="0" collapsed="false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</row>
    <row r="543" customFormat="false" ht="15.75" hidden="false" customHeight="true" outlineLevel="0" collapsed="false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</row>
    <row r="544" customFormat="false" ht="15.75" hidden="false" customHeight="true" outlineLevel="0" collapsed="false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</row>
    <row r="545" customFormat="false" ht="15.75" hidden="false" customHeight="true" outlineLevel="0" collapsed="false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</row>
    <row r="546" customFormat="false" ht="15.75" hidden="false" customHeight="true" outlineLevel="0" collapsed="false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</row>
    <row r="547" customFormat="false" ht="15.75" hidden="false" customHeight="true" outlineLevel="0" collapsed="false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</row>
    <row r="548" customFormat="false" ht="15.75" hidden="false" customHeight="true" outlineLevel="0" collapsed="false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</row>
    <row r="549" customFormat="false" ht="15.75" hidden="false" customHeight="true" outlineLevel="0" collapsed="false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</row>
    <row r="550" customFormat="false" ht="15.75" hidden="false" customHeight="true" outlineLevel="0" collapsed="false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</row>
    <row r="551" customFormat="false" ht="15.75" hidden="false" customHeight="true" outlineLevel="0" collapsed="false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</row>
    <row r="552" customFormat="false" ht="15.75" hidden="false" customHeight="true" outlineLevel="0" collapsed="false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</row>
    <row r="553" customFormat="false" ht="15.75" hidden="false" customHeight="true" outlineLevel="0" collapsed="false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</row>
    <row r="554" customFormat="false" ht="15.75" hidden="false" customHeight="true" outlineLevel="0" collapsed="false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</row>
    <row r="555" customFormat="false" ht="15.75" hidden="false" customHeight="true" outlineLevel="0" collapsed="false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</row>
    <row r="556" customFormat="false" ht="15.75" hidden="false" customHeight="true" outlineLevel="0" collapsed="false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</row>
    <row r="557" customFormat="false" ht="15.75" hidden="false" customHeight="true" outlineLevel="0" collapsed="false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</row>
    <row r="558" customFormat="false" ht="15.75" hidden="false" customHeight="true" outlineLevel="0" collapsed="false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</row>
    <row r="559" customFormat="false" ht="15.75" hidden="false" customHeight="true" outlineLevel="0" collapsed="false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</row>
    <row r="560" customFormat="false" ht="15.75" hidden="false" customHeight="true" outlineLevel="0" collapsed="false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</row>
    <row r="561" customFormat="false" ht="15.75" hidden="false" customHeight="true" outlineLevel="0" collapsed="false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</row>
    <row r="562" customFormat="false" ht="15.75" hidden="false" customHeight="true" outlineLevel="0" collapsed="false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</row>
    <row r="563" customFormat="false" ht="15.75" hidden="false" customHeight="true" outlineLevel="0" collapsed="false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</row>
    <row r="564" customFormat="false" ht="15.75" hidden="false" customHeight="true" outlineLevel="0" collapsed="false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</row>
    <row r="565" customFormat="false" ht="15.75" hidden="false" customHeight="true" outlineLevel="0" collapsed="false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</row>
    <row r="566" customFormat="false" ht="15.75" hidden="false" customHeight="true" outlineLevel="0" collapsed="false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</row>
    <row r="567" customFormat="false" ht="15.75" hidden="false" customHeight="true" outlineLevel="0" collapsed="false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</row>
    <row r="568" customFormat="false" ht="15.75" hidden="false" customHeight="true" outlineLevel="0" collapsed="false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</row>
    <row r="569" customFormat="false" ht="15.75" hidden="false" customHeight="true" outlineLevel="0" collapsed="false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</row>
    <row r="570" customFormat="false" ht="15.75" hidden="false" customHeight="true" outlineLevel="0" collapsed="false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</row>
    <row r="571" customFormat="false" ht="15.75" hidden="false" customHeight="true" outlineLevel="0" collapsed="false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</row>
    <row r="572" customFormat="false" ht="15.75" hidden="false" customHeight="true" outlineLevel="0" collapsed="false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</row>
    <row r="573" customFormat="false" ht="15.75" hidden="false" customHeight="true" outlineLevel="0" collapsed="false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</row>
    <row r="574" customFormat="false" ht="15.75" hidden="false" customHeight="true" outlineLevel="0" collapsed="false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</row>
    <row r="575" customFormat="false" ht="15.75" hidden="false" customHeight="true" outlineLevel="0" collapsed="false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</row>
    <row r="576" customFormat="false" ht="15.75" hidden="false" customHeight="true" outlineLevel="0" collapsed="false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</row>
    <row r="577" customFormat="false" ht="15.75" hidden="false" customHeight="true" outlineLevel="0" collapsed="false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</row>
    <row r="578" customFormat="false" ht="15.75" hidden="false" customHeight="true" outlineLevel="0" collapsed="false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</row>
    <row r="579" customFormat="false" ht="15.75" hidden="false" customHeight="true" outlineLevel="0" collapsed="false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</row>
    <row r="580" customFormat="false" ht="15.75" hidden="false" customHeight="true" outlineLevel="0" collapsed="false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</row>
    <row r="581" customFormat="false" ht="15.75" hidden="false" customHeight="true" outlineLevel="0" collapsed="false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</row>
    <row r="582" customFormat="false" ht="15.75" hidden="false" customHeight="true" outlineLevel="0" collapsed="false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</row>
    <row r="583" customFormat="false" ht="15.75" hidden="false" customHeight="true" outlineLevel="0" collapsed="false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</row>
    <row r="584" customFormat="false" ht="15.75" hidden="false" customHeight="true" outlineLevel="0" collapsed="false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</row>
    <row r="585" customFormat="false" ht="15.75" hidden="false" customHeight="true" outlineLevel="0" collapsed="false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</row>
    <row r="586" customFormat="false" ht="15.75" hidden="false" customHeight="true" outlineLevel="0" collapsed="false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</row>
    <row r="587" customFormat="false" ht="15.75" hidden="false" customHeight="true" outlineLevel="0" collapsed="false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</row>
    <row r="588" customFormat="false" ht="15.75" hidden="false" customHeight="true" outlineLevel="0" collapsed="false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</row>
    <row r="589" customFormat="false" ht="15.75" hidden="false" customHeight="true" outlineLevel="0" collapsed="false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</row>
    <row r="590" customFormat="false" ht="15.75" hidden="false" customHeight="true" outlineLevel="0" collapsed="false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</row>
    <row r="591" customFormat="false" ht="15.75" hidden="false" customHeight="true" outlineLevel="0" collapsed="false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</row>
    <row r="592" customFormat="false" ht="15.75" hidden="false" customHeight="true" outlineLevel="0" collapsed="false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</row>
    <row r="593" customFormat="false" ht="15.75" hidden="false" customHeight="true" outlineLevel="0" collapsed="false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</row>
    <row r="594" customFormat="false" ht="15.75" hidden="false" customHeight="true" outlineLevel="0" collapsed="false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</row>
    <row r="595" customFormat="false" ht="15.75" hidden="false" customHeight="true" outlineLevel="0" collapsed="false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</row>
    <row r="596" customFormat="false" ht="15.75" hidden="false" customHeight="true" outlineLevel="0" collapsed="false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</row>
    <row r="597" customFormat="false" ht="15.75" hidden="false" customHeight="true" outlineLevel="0" collapsed="false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</row>
    <row r="598" customFormat="false" ht="15.75" hidden="false" customHeight="true" outlineLevel="0" collapsed="false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</row>
    <row r="599" customFormat="false" ht="15.75" hidden="false" customHeight="true" outlineLevel="0" collapsed="false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</row>
    <row r="600" customFormat="false" ht="15.75" hidden="false" customHeight="true" outlineLevel="0" collapsed="false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</row>
    <row r="601" customFormat="false" ht="15.75" hidden="false" customHeight="true" outlineLevel="0" collapsed="false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</row>
    <row r="602" customFormat="false" ht="15.75" hidden="false" customHeight="true" outlineLevel="0" collapsed="false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</row>
    <row r="603" customFormat="false" ht="15.75" hidden="false" customHeight="true" outlineLevel="0" collapsed="false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</row>
    <row r="604" customFormat="false" ht="15.75" hidden="false" customHeight="true" outlineLevel="0" collapsed="false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</row>
    <row r="605" customFormat="false" ht="15.75" hidden="false" customHeight="true" outlineLevel="0" collapsed="false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</row>
    <row r="606" customFormat="false" ht="15.75" hidden="false" customHeight="true" outlineLevel="0" collapsed="false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</row>
    <row r="607" customFormat="false" ht="15.75" hidden="false" customHeight="true" outlineLevel="0" collapsed="false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</row>
    <row r="608" customFormat="false" ht="15.75" hidden="false" customHeight="true" outlineLevel="0" collapsed="false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</row>
    <row r="609" customFormat="false" ht="15.75" hidden="false" customHeight="true" outlineLevel="0" collapsed="false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</row>
    <row r="610" customFormat="false" ht="15.75" hidden="false" customHeight="true" outlineLevel="0" collapsed="false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</row>
    <row r="611" customFormat="false" ht="15.75" hidden="false" customHeight="true" outlineLevel="0" collapsed="false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</row>
    <row r="612" customFormat="false" ht="15.75" hidden="false" customHeight="true" outlineLevel="0" collapsed="false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</row>
    <row r="613" customFormat="false" ht="15.75" hidden="false" customHeight="true" outlineLevel="0" collapsed="false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</row>
    <row r="614" customFormat="false" ht="15.75" hidden="false" customHeight="true" outlineLevel="0" collapsed="false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</row>
    <row r="615" customFormat="false" ht="15.75" hidden="false" customHeight="true" outlineLevel="0" collapsed="false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</row>
    <row r="616" customFormat="false" ht="15.75" hidden="false" customHeight="true" outlineLevel="0" collapsed="false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</row>
    <row r="617" customFormat="false" ht="15.75" hidden="false" customHeight="true" outlineLevel="0" collapsed="false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</row>
    <row r="618" customFormat="false" ht="15.75" hidden="false" customHeight="true" outlineLevel="0" collapsed="false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</row>
    <row r="619" customFormat="false" ht="15.75" hidden="false" customHeight="true" outlineLevel="0" collapsed="false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</row>
    <row r="620" customFormat="false" ht="15.75" hidden="false" customHeight="true" outlineLevel="0" collapsed="false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</row>
    <row r="621" customFormat="false" ht="15.75" hidden="false" customHeight="true" outlineLevel="0" collapsed="false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</row>
    <row r="622" customFormat="false" ht="15.75" hidden="false" customHeight="true" outlineLevel="0" collapsed="false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</row>
    <row r="623" customFormat="false" ht="15.75" hidden="false" customHeight="true" outlineLevel="0" collapsed="false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</row>
    <row r="624" customFormat="false" ht="15.75" hidden="false" customHeight="true" outlineLevel="0" collapsed="false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</row>
    <row r="625" customFormat="false" ht="15.75" hidden="false" customHeight="true" outlineLevel="0" collapsed="false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</row>
    <row r="626" customFormat="false" ht="15.75" hidden="false" customHeight="true" outlineLevel="0" collapsed="false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</row>
    <row r="627" customFormat="false" ht="15.75" hidden="false" customHeight="true" outlineLevel="0" collapsed="false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</row>
    <row r="628" customFormat="false" ht="15.75" hidden="false" customHeight="true" outlineLevel="0" collapsed="false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</row>
    <row r="629" customFormat="false" ht="15.75" hidden="false" customHeight="true" outlineLevel="0" collapsed="false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</row>
    <row r="630" customFormat="false" ht="15.75" hidden="false" customHeight="true" outlineLevel="0" collapsed="false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</row>
    <row r="631" customFormat="false" ht="15.75" hidden="false" customHeight="true" outlineLevel="0" collapsed="false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</row>
    <row r="632" customFormat="false" ht="15.75" hidden="false" customHeight="true" outlineLevel="0" collapsed="false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</row>
    <row r="633" customFormat="false" ht="15.75" hidden="false" customHeight="true" outlineLevel="0" collapsed="false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</row>
    <row r="634" customFormat="false" ht="15.75" hidden="false" customHeight="true" outlineLevel="0" collapsed="false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</row>
    <row r="635" customFormat="false" ht="15.75" hidden="false" customHeight="true" outlineLevel="0" collapsed="false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</row>
    <row r="636" customFormat="false" ht="15.75" hidden="false" customHeight="true" outlineLevel="0" collapsed="false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</row>
    <row r="637" customFormat="false" ht="15.75" hidden="false" customHeight="true" outlineLevel="0" collapsed="false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</row>
    <row r="638" customFormat="false" ht="15.75" hidden="false" customHeight="true" outlineLevel="0" collapsed="false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</row>
    <row r="639" customFormat="false" ht="15.75" hidden="false" customHeight="true" outlineLevel="0" collapsed="false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</row>
    <row r="640" customFormat="false" ht="15.75" hidden="false" customHeight="true" outlineLevel="0" collapsed="false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</row>
    <row r="641" customFormat="false" ht="15.75" hidden="false" customHeight="true" outlineLevel="0" collapsed="false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</row>
    <row r="642" customFormat="false" ht="15.75" hidden="false" customHeight="true" outlineLevel="0" collapsed="false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</row>
    <row r="643" customFormat="false" ht="15.75" hidden="false" customHeight="true" outlineLevel="0" collapsed="false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</row>
    <row r="644" customFormat="false" ht="15.75" hidden="false" customHeight="true" outlineLevel="0" collapsed="false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</row>
    <row r="645" customFormat="false" ht="15.75" hidden="false" customHeight="true" outlineLevel="0" collapsed="false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</row>
    <row r="646" customFormat="false" ht="15.75" hidden="false" customHeight="true" outlineLevel="0" collapsed="false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</row>
    <row r="647" customFormat="false" ht="15.75" hidden="false" customHeight="true" outlineLevel="0" collapsed="false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</row>
    <row r="648" customFormat="false" ht="15.75" hidden="false" customHeight="true" outlineLevel="0" collapsed="false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</row>
    <row r="649" customFormat="false" ht="15.75" hidden="false" customHeight="true" outlineLevel="0" collapsed="false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</row>
    <row r="650" customFormat="false" ht="15.75" hidden="false" customHeight="true" outlineLevel="0" collapsed="false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</row>
    <row r="651" customFormat="false" ht="15.75" hidden="false" customHeight="true" outlineLevel="0" collapsed="false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</row>
    <row r="652" customFormat="false" ht="15.75" hidden="false" customHeight="true" outlineLevel="0" collapsed="false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</row>
    <row r="653" customFormat="false" ht="15.75" hidden="false" customHeight="true" outlineLevel="0" collapsed="false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</row>
    <row r="654" customFormat="false" ht="15.75" hidden="false" customHeight="true" outlineLevel="0" collapsed="false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</row>
    <row r="655" customFormat="false" ht="15.75" hidden="false" customHeight="true" outlineLevel="0" collapsed="false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</row>
    <row r="656" customFormat="false" ht="15.75" hidden="false" customHeight="true" outlineLevel="0" collapsed="false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</row>
    <row r="657" customFormat="false" ht="15.75" hidden="false" customHeight="true" outlineLevel="0" collapsed="false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</row>
    <row r="658" customFormat="false" ht="15.75" hidden="false" customHeight="true" outlineLevel="0" collapsed="false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</row>
    <row r="659" customFormat="false" ht="15.75" hidden="false" customHeight="true" outlineLevel="0" collapsed="false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</row>
    <row r="660" customFormat="false" ht="15.75" hidden="false" customHeight="true" outlineLevel="0" collapsed="false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</row>
    <row r="661" customFormat="false" ht="15.75" hidden="false" customHeight="true" outlineLevel="0" collapsed="false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</row>
    <row r="662" customFormat="false" ht="15.75" hidden="false" customHeight="true" outlineLevel="0" collapsed="false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</row>
    <row r="663" customFormat="false" ht="15.75" hidden="false" customHeight="true" outlineLevel="0" collapsed="false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</row>
    <row r="664" customFormat="false" ht="15.75" hidden="false" customHeight="true" outlineLevel="0" collapsed="false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</row>
    <row r="665" customFormat="false" ht="15.75" hidden="false" customHeight="true" outlineLevel="0" collapsed="false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</row>
    <row r="666" customFormat="false" ht="15.75" hidden="false" customHeight="true" outlineLevel="0" collapsed="false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</row>
    <row r="667" customFormat="false" ht="15.75" hidden="false" customHeight="true" outlineLevel="0" collapsed="false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</row>
    <row r="668" customFormat="false" ht="15.75" hidden="false" customHeight="true" outlineLevel="0" collapsed="false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</row>
    <row r="669" customFormat="false" ht="15.75" hidden="false" customHeight="true" outlineLevel="0" collapsed="false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</row>
    <row r="670" customFormat="false" ht="15.75" hidden="false" customHeight="true" outlineLevel="0" collapsed="false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</row>
    <row r="671" customFormat="false" ht="15.75" hidden="false" customHeight="true" outlineLevel="0" collapsed="false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</row>
    <row r="672" customFormat="false" ht="15.75" hidden="false" customHeight="true" outlineLevel="0" collapsed="false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</row>
    <row r="673" customFormat="false" ht="15.75" hidden="false" customHeight="true" outlineLevel="0" collapsed="false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</row>
    <row r="674" customFormat="false" ht="15.75" hidden="false" customHeight="true" outlineLevel="0" collapsed="false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</row>
    <row r="675" customFormat="false" ht="15.75" hidden="false" customHeight="true" outlineLevel="0" collapsed="false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</row>
    <row r="676" customFormat="false" ht="15.75" hidden="false" customHeight="true" outlineLevel="0" collapsed="false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</row>
    <row r="677" customFormat="false" ht="15.75" hidden="false" customHeight="true" outlineLevel="0" collapsed="false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</row>
    <row r="678" customFormat="false" ht="15.75" hidden="false" customHeight="true" outlineLevel="0" collapsed="false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</row>
    <row r="679" customFormat="false" ht="15.75" hidden="false" customHeight="true" outlineLevel="0" collapsed="false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</row>
    <row r="680" customFormat="false" ht="15.75" hidden="false" customHeight="true" outlineLevel="0" collapsed="false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</row>
    <row r="681" customFormat="false" ht="15.75" hidden="false" customHeight="true" outlineLevel="0" collapsed="false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</row>
    <row r="682" customFormat="false" ht="15.75" hidden="false" customHeight="true" outlineLevel="0" collapsed="false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</row>
    <row r="683" customFormat="false" ht="15.75" hidden="false" customHeight="true" outlineLevel="0" collapsed="false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</row>
    <row r="684" customFormat="false" ht="15.75" hidden="false" customHeight="true" outlineLevel="0" collapsed="false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</row>
    <row r="685" customFormat="false" ht="15.75" hidden="false" customHeight="true" outlineLevel="0" collapsed="false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</row>
    <row r="686" customFormat="false" ht="15.75" hidden="false" customHeight="true" outlineLevel="0" collapsed="false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</row>
    <row r="687" customFormat="false" ht="15.75" hidden="false" customHeight="true" outlineLevel="0" collapsed="false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</row>
    <row r="688" customFormat="false" ht="15.75" hidden="false" customHeight="true" outlineLevel="0" collapsed="false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</row>
    <row r="689" customFormat="false" ht="15.75" hidden="false" customHeight="true" outlineLevel="0" collapsed="false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</row>
    <row r="690" customFormat="false" ht="15.75" hidden="false" customHeight="true" outlineLevel="0" collapsed="false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</row>
    <row r="691" customFormat="false" ht="15.75" hidden="false" customHeight="true" outlineLevel="0" collapsed="false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</row>
    <row r="692" customFormat="false" ht="15.75" hidden="false" customHeight="true" outlineLevel="0" collapsed="false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</row>
    <row r="693" customFormat="false" ht="15.75" hidden="false" customHeight="true" outlineLevel="0" collapsed="false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</row>
    <row r="694" customFormat="false" ht="15.75" hidden="false" customHeight="true" outlineLevel="0" collapsed="false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</row>
    <row r="695" customFormat="false" ht="15.75" hidden="false" customHeight="true" outlineLevel="0" collapsed="false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</row>
    <row r="696" customFormat="false" ht="15.75" hidden="false" customHeight="true" outlineLevel="0" collapsed="false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</row>
    <row r="697" customFormat="false" ht="15.75" hidden="false" customHeight="true" outlineLevel="0" collapsed="false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</row>
    <row r="698" customFormat="false" ht="15.75" hidden="false" customHeight="true" outlineLevel="0" collapsed="false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</row>
    <row r="699" customFormat="false" ht="15.75" hidden="false" customHeight="true" outlineLevel="0" collapsed="false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</row>
    <row r="700" customFormat="false" ht="15.75" hidden="false" customHeight="true" outlineLevel="0" collapsed="false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</row>
    <row r="701" customFormat="false" ht="15.75" hidden="false" customHeight="true" outlineLevel="0" collapsed="false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</row>
    <row r="702" customFormat="false" ht="15.75" hidden="false" customHeight="true" outlineLevel="0" collapsed="false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</row>
    <row r="703" customFormat="false" ht="15.75" hidden="false" customHeight="true" outlineLevel="0" collapsed="false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</row>
    <row r="704" customFormat="false" ht="15.75" hidden="false" customHeight="true" outlineLevel="0" collapsed="false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</row>
    <row r="705" customFormat="false" ht="15.75" hidden="false" customHeight="true" outlineLevel="0" collapsed="false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</row>
    <row r="706" customFormat="false" ht="15.75" hidden="false" customHeight="true" outlineLevel="0" collapsed="false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</row>
    <row r="707" customFormat="false" ht="15.75" hidden="false" customHeight="true" outlineLevel="0" collapsed="false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</row>
    <row r="708" customFormat="false" ht="15.75" hidden="false" customHeight="true" outlineLevel="0" collapsed="false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</row>
    <row r="709" customFormat="false" ht="15.75" hidden="false" customHeight="true" outlineLevel="0" collapsed="false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</row>
    <row r="710" customFormat="false" ht="15.75" hidden="false" customHeight="true" outlineLevel="0" collapsed="false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</row>
    <row r="711" customFormat="false" ht="15.75" hidden="false" customHeight="true" outlineLevel="0" collapsed="false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</row>
    <row r="712" customFormat="false" ht="15.75" hidden="false" customHeight="true" outlineLevel="0" collapsed="false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</row>
    <row r="713" customFormat="false" ht="15.75" hidden="false" customHeight="true" outlineLevel="0" collapsed="false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</row>
    <row r="714" customFormat="false" ht="15.75" hidden="false" customHeight="true" outlineLevel="0" collapsed="false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</row>
    <row r="715" customFormat="false" ht="15.75" hidden="false" customHeight="true" outlineLevel="0" collapsed="false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</row>
    <row r="716" customFormat="false" ht="15.75" hidden="false" customHeight="true" outlineLevel="0" collapsed="false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</row>
    <row r="717" customFormat="false" ht="15.75" hidden="false" customHeight="true" outlineLevel="0" collapsed="false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</row>
    <row r="718" customFormat="false" ht="15.75" hidden="false" customHeight="true" outlineLevel="0" collapsed="false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</row>
    <row r="719" customFormat="false" ht="15.75" hidden="false" customHeight="true" outlineLevel="0" collapsed="false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</row>
    <row r="720" customFormat="false" ht="15.75" hidden="false" customHeight="true" outlineLevel="0" collapsed="false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</row>
    <row r="721" customFormat="false" ht="15.75" hidden="false" customHeight="true" outlineLevel="0" collapsed="false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</row>
    <row r="722" customFormat="false" ht="15.75" hidden="false" customHeight="true" outlineLevel="0" collapsed="false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</row>
    <row r="723" customFormat="false" ht="15.75" hidden="false" customHeight="true" outlineLevel="0" collapsed="false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</row>
    <row r="724" customFormat="false" ht="15.75" hidden="false" customHeight="true" outlineLevel="0" collapsed="false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</row>
    <row r="725" customFormat="false" ht="15.75" hidden="false" customHeight="true" outlineLevel="0" collapsed="false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</row>
    <row r="726" customFormat="false" ht="15.75" hidden="false" customHeight="true" outlineLevel="0" collapsed="false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</row>
    <row r="727" customFormat="false" ht="15.75" hidden="false" customHeight="true" outlineLevel="0" collapsed="false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</row>
    <row r="728" customFormat="false" ht="15.75" hidden="false" customHeight="true" outlineLevel="0" collapsed="false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</row>
    <row r="729" customFormat="false" ht="15.75" hidden="false" customHeight="true" outlineLevel="0" collapsed="false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</row>
    <row r="730" customFormat="false" ht="15.75" hidden="false" customHeight="true" outlineLevel="0" collapsed="false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</row>
    <row r="731" customFormat="false" ht="15.75" hidden="false" customHeight="true" outlineLevel="0" collapsed="false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</row>
    <row r="732" customFormat="false" ht="15.75" hidden="false" customHeight="true" outlineLevel="0" collapsed="false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</row>
    <row r="733" customFormat="false" ht="15.75" hidden="false" customHeight="true" outlineLevel="0" collapsed="false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</row>
    <row r="734" customFormat="false" ht="15.75" hidden="false" customHeight="true" outlineLevel="0" collapsed="false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</row>
    <row r="735" customFormat="false" ht="15.75" hidden="false" customHeight="true" outlineLevel="0" collapsed="false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</row>
    <row r="736" customFormat="false" ht="15.75" hidden="false" customHeight="true" outlineLevel="0" collapsed="false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</row>
    <row r="737" customFormat="false" ht="15.75" hidden="false" customHeight="true" outlineLevel="0" collapsed="false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</row>
    <row r="738" customFormat="false" ht="15.75" hidden="false" customHeight="true" outlineLevel="0" collapsed="false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</row>
    <row r="739" customFormat="false" ht="15.75" hidden="false" customHeight="true" outlineLevel="0" collapsed="false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</row>
    <row r="740" customFormat="false" ht="15.75" hidden="false" customHeight="true" outlineLevel="0" collapsed="false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</row>
    <row r="741" customFormat="false" ht="15.75" hidden="false" customHeight="true" outlineLevel="0" collapsed="false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</row>
    <row r="742" customFormat="false" ht="15.75" hidden="false" customHeight="true" outlineLevel="0" collapsed="false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</row>
    <row r="743" customFormat="false" ht="15.75" hidden="false" customHeight="true" outlineLevel="0" collapsed="false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</row>
    <row r="744" customFormat="false" ht="15.75" hidden="false" customHeight="true" outlineLevel="0" collapsed="false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</row>
    <row r="745" customFormat="false" ht="15.75" hidden="false" customHeight="true" outlineLevel="0" collapsed="false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</row>
    <row r="746" customFormat="false" ht="15.75" hidden="false" customHeight="true" outlineLevel="0" collapsed="false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</row>
    <row r="747" customFormat="false" ht="15.75" hidden="false" customHeight="true" outlineLevel="0" collapsed="false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</row>
    <row r="748" customFormat="false" ht="15.75" hidden="false" customHeight="true" outlineLevel="0" collapsed="false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</row>
    <row r="749" customFormat="false" ht="15.75" hidden="false" customHeight="true" outlineLevel="0" collapsed="false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</row>
    <row r="750" customFormat="false" ht="15.75" hidden="false" customHeight="true" outlineLevel="0" collapsed="false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</row>
    <row r="751" customFormat="false" ht="15.75" hidden="false" customHeight="true" outlineLevel="0" collapsed="false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</row>
    <row r="752" customFormat="false" ht="15.75" hidden="false" customHeight="true" outlineLevel="0" collapsed="false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</row>
    <row r="753" customFormat="false" ht="15.75" hidden="false" customHeight="true" outlineLevel="0" collapsed="false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</row>
    <row r="754" customFormat="false" ht="15.75" hidden="false" customHeight="true" outlineLevel="0" collapsed="false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</row>
    <row r="755" customFormat="false" ht="15.75" hidden="false" customHeight="true" outlineLevel="0" collapsed="false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</row>
    <row r="756" customFormat="false" ht="15.75" hidden="false" customHeight="true" outlineLevel="0" collapsed="false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</row>
    <row r="757" customFormat="false" ht="15.75" hidden="false" customHeight="true" outlineLevel="0" collapsed="false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</row>
    <row r="758" customFormat="false" ht="15.75" hidden="false" customHeight="true" outlineLevel="0" collapsed="false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</row>
    <row r="759" customFormat="false" ht="15.75" hidden="false" customHeight="true" outlineLevel="0" collapsed="false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</row>
    <row r="760" customFormat="false" ht="15.75" hidden="false" customHeight="true" outlineLevel="0" collapsed="false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</row>
    <row r="761" customFormat="false" ht="15.75" hidden="false" customHeight="true" outlineLevel="0" collapsed="false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</row>
    <row r="762" customFormat="false" ht="15.75" hidden="false" customHeight="true" outlineLevel="0" collapsed="false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</row>
    <row r="763" customFormat="false" ht="15.75" hidden="false" customHeight="true" outlineLevel="0" collapsed="false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</row>
    <row r="764" customFormat="false" ht="15.75" hidden="false" customHeight="true" outlineLevel="0" collapsed="false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</row>
    <row r="765" customFormat="false" ht="15.75" hidden="false" customHeight="true" outlineLevel="0" collapsed="false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</row>
    <row r="766" customFormat="false" ht="15.75" hidden="false" customHeight="true" outlineLevel="0" collapsed="false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</row>
    <row r="767" customFormat="false" ht="15.75" hidden="false" customHeight="true" outlineLevel="0" collapsed="false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</row>
    <row r="768" customFormat="false" ht="15.75" hidden="false" customHeight="true" outlineLevel="0" collapsed="false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</row>
    <row r="769" customFormat="false" ht="15.75" hidden="false" customHeight="true" outlineLevel="0" collapsed="false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</row>
    <row r="770" customFormat="false" ht="15.75" hidden="false" customHeight="true" outlineLevel="0" collapsed="false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</row>
    <row r="771" customFormat="false" ht="15.75" hidden="false" customHeight="true" outlineLevel="0" collapsed="false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</row>
    <row r="772" customFormat="false" ht="15.75" hidden="false" customHeight="true" outlineLevel="0" collapsed="false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</row>
    <row r="773" customFormat="false" ht="15.75" hidden="false" customHeight="true" outlineLevel="0" collapsed="false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</row>
    <row r="774" customFormat="false" ht="15.75" hidden="false" customHeight="true" outlineLevel="0" collapsed="false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</row>
    <row r="775" customFormat="false" ht="15.75" hidden="false" customHeight="true" outlineLevel="0" collapsed="false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</row>
    <row r="776" customFormat="false" ht="15.75" hidden="false" customHeight="true" outlineLevel="0" collapsed="false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</row>
    <row r="777" customFormat="false" ht="15.75" hidden="false" customHeight="true" outlineLevel="0" collapsed="false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</row>
    <row r="778" customFormat="false" ht="15.75" hidden="false" customHeight="true" outlineLevel="0" collapsed="false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</row>
    <row r="779" customFormat="false" ht="15.75" hidden="false" customHeight="true" outlineLevel="0" collapsed="false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</row>
    <row r="780" customFormat="false" ht="15.75" hidden="false" customHeight="true" outlineLevel="0" collapsed="false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</row>
    <row r="781" customFormat="false" ht="15.75" hidden="false" customHeight="true" outlineLevel="0" collapsed="false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</row>
    <row r="782" customFormat="false" ht="15.75" hidden="false" customHeight="true" outlineLevel="0" collapsed="false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</row>
    <row r="783" customFormat="false" ht="15.75" hidden="false" customHeight="true" outlineLevel="0" collapsed="false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</row>
    <row r="784" customFormat="false" ht="15.75" hidden="false" customHeight="true" outlineLevel="0" collapsed="false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</row>
    <row r="785" customFormat="false" ht="15.75" hidden="false" customHeight="true" outlineLevel="0" collapsed="false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</row>
    <row r="786" customFormat="false" ht="15.75" hidden="false" customHeight="true" outlineLevel="0" collapsed="false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</row>
    <row r="787" customFormat="false" ht="15.75" hidden="false" customHeight="true" outlineLevel="0" collapsed="false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</row>
    <row r="788" customFormat="false" ht="15.75" hidden="false" customHeight="true" outlineLevel="0" collapsed="false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</row>
    <row r="789" customFormat="false" ht="15.75" hidden="false" customHeight="true" outlineLevel="0" collapsed="false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</row>
    <row r="790" customFormat="false" ht="15.75" hidden="false" customHeight="true" outlineLevel="0" collapsed="false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</row>
    <row r="791" customFormat="false" ht="15.75" hidden="false" customHeight="true" outlineLevel="0" collapsed="false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</row>
    <row r="792" customFormat="false" ht="15.75" hidden="false" customHeight="true" outlineLevel="0" collapsed="false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</row>
    <row r="793" customFormat="false" ht="15.75" hidden="false" customHeight="true" outlineLevel="0" collapsed="false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</row>
    <row r="794" customFormat="false" ht="15.75" hidden="false" customHeight="true" outlineLevel="0" collapsed="false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</row>
    <row r="795" customFormat="false" ht="15.75" hidden="false" customHeight="true" outlineLevel="0" collapsed="false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</row>
    <row r="796" customFormat="false" ht="15.75" hidden="false" customHeight="true" outlineLevel="0" collapsed="false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</row>
    <row r="797" customFormat="false" ht="15.75" hidden="false" customHeight="true" outlineLevel="0" collapsed="false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</row>
    <row r="798" customFormat="false" ht="15.75" hidden="false" customHeight="true" outlineLevel="0" collapsed="false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</row>
    <row r="799" customFormat="false" ht="15.75" hidden="false" customHeight="true" outlineLevel="0" collapsed="false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</row>
    <row r="800" customFormat="false" ht="15.75" hidden="false" customHeight="true" outlineLevel="0" collapsed="false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</row>
    <row r="801" customFormat="false" ht="15.75" hidden="false" customHeight="true" outlineLevel="0" collapsed="false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</row>
    <row r="802" customFormat="false" ht="15.75" hidden="false" customHeight="true" outlineLevel="0" collapsed="false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</row>
    <row r="803" customFormat="false" ht="15.75" hidden="false" customHeight="true" outlineLevel="0" collapsed="false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</row>
    <row r="804" customFormat="false" ht="15.75" hidden="false" customHeight="true" outlineLevel="0" collapsed="false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</row>
    <row r="805" customFormat="false" ht="15.75" hidden="false" customHeight="true" outlineLevel="0" collapsed="false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</row>
    <row r="806" customFormat="false" ht="15.75" hidden="false" customHeight="true" outlineLevel="0" collapsed="false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</row>
    <row r="807" customFormat="false" ht="15.75" hidden="false" customHeight="true" outlineLevel="0" collapsed="false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</row>
    <row r="808" customFormat="false" ht="15.75" hidden="false" customHeight="true" outlineLevel="0" collapsed="false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</row>
    <row r="809" customFormat="false" ht="15.75" hidden="false" customHeight="true" outlineLevel="0" collapsed="false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</row>
    <row r="810" customFormat="false" ht="15.75" hidden="false" customHeight="true" outlineLevel="0" collapsed="false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</row>
    <row r="811" customFormat="false" ht="15.75" hidden="false" customHeight="true" outlineLevel="0" collapsed="false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</row>
    <row r="812" customFormat="false" ht="15.75" hidden="false" customHeight="true" outlineLevel="0" collapsed="false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</row>
    <row r="813" customFormat="false" ht="15.75" hidden="false" customHeight="true" outlineLevel="0" collapsed="false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</row>
    <row r="814" customFormat="false" ht="15.75" hidden="false" customHeight="true" outlineLevel="0" collapsed="false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</row>
    <row r="815" customFormat="false" ht="15.75" hidden="false" customHeight="true" outlineLevel="0" collapsed="false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</row>
    <row r="816" customFormat="false" ht="15.75" hidden="false" customHeight="true" outlineLevel="0" collapsed="false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</row>
    <row r="817" customFormat="false" ht="15.75" hidden="false" customHeight="true" outlineLevel="0" collapsed="false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</row>
    <row r="818" customFormat="false" ht="15.75" hidden="false" customHeight="true" outlineLevel="0" collapsed="false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</row>
    <row r="819" customFormat="false" ht="15.75" hidden="false" customHeight="true" outlineLevel="0" collapsed="false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</row>
    <row r="820" customFormat="false" ht="15.75" hidden="false" customHeight="true" outlineLevel="0" collapsed="false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</row>
    <row r="821" customFormat="false" ht="15.75" hidden="false" customHeight="true" outlineLevel="0" collapsed="false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</row>
    <row r="822" customFormat="false" ht="15.75" hidden="false" customHeight="true" outlineLevel="0" collapsed="false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</row>
    <row r="823" customFormat="false" ht="15.75" hidden="false" customHeight="true" outlineLevel="0" collapsed="false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</row>
    <row r="824" customFormat="false" ht="15.75" hidden="false" customHeight="true" outlineLevel="0" collapsed="false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</row>
    <row r="825" customFormat="false" ht="15.75" hidden="false" customHeight="true" outlineLevel="0" collapsed="false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</row>
    <row r="826" customFormat="false" ht="15.75" hidden="false" customHeight="true" outlineLevel="0" collapsed="false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</row>
    <row r="827" customFormat="false" ht="15.75" hidden="false" customHeight="true" outlineLevel="0" collapsed="false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</row>
    <row r="828" customFormat="false" ht="15.75" hidden="false" customHeight="true" outlineLevel="0" collapsed="false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</row>
    <row r="829" customFormat="false" ht="15.75" hidden="false" customHeight="true" outlineLevel="0" collapsed="false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</row>
    <row r="830" customFormat="false" ht="15.75" hidden="false" customHeight="true" outlineLevel="0" collapsed="false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</row>
    <row r="831" customFormat="false" ht="15.75" hidden="false" customHeight="true" outlineLevel="0" collapsed="false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</row>
    <row r="832" customFormat="false" ht="15.75" hidden="false" customHeight="true" outlineLevel="0" collapsed="false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</row>
    <row r="833" customFormat="false" ht="15.75" hidden="false" customHeight="true" outlineLevel="0" collapsed="false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</row>
    <row r="834" customFormat="false" ht="15.75" hidden="false" customHeight="true" outlineLevel="0" collapsed="false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</row>
    <row r="835" customFormat="false" ht="15.75" hidden="false" customHeight="true" outlineLevel="0" collapsed="false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</row>
    <row r="836" customFormat="false" ht="15.75" hidden="false" customHeight="true" outlineLevel="0" collapsed="false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</row>
    <row r="837" customFormat="false" ht="15.75" hidden="false" customHeight="true" outlineLevel="0" collapsed="false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</row>
    <row r="838" customFormat="false" ht="15.75" hidden="false" customHeight="true" outlineLevel="0" collapsed="false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</row>
    <row r="839" customFormat="false" ht="15.75" hidden="false" customHeight="true" outlineLevel="0" collapsed="false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</row>
    <row r="840" customFormat="false" ht="15.75" hidden="false" customHeight="true" outlineLevel="0" collapsed="false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</row>
    <row r="841" customFormat="false" ht="15.75" hidden="false" customHeight="true" outlineLevel="0" collapsed="false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</row>
    <row r="842" customFormat="false" ht="15.75" hidden="false" customHeight="true" outlineLevel="0" collapsed="false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</row>
    <row r="843" customFormat="false" ht="15.75" hidden="false" customHeight="true" outlineLevel="0" collapsed="false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</row>
    <row r="844" customFormat="false" ht="15.75" hidden="false" customHeight="true" outlineLevel="0" collapsed="false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</row>
    <row r="845" customFormat="false" ht="15.75" hidden="false" customHeight="true" outlineLevel="0" collapsed="false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</row>
    <row r="846" customFormat="false" ht="15.75" hidden="false" customHeight="true" outlineLevel="0" collapsed="false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</row>
    <row r="847" customFormat="false" ht="15.75" hidden="false" customHeight="true" outlineLevel="0" collapsed="false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</row>
    <row r="848" customFormat="false" ht="15.75" hidden="false" customHeight="true" outlineLevel="0" collapsed="false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</row>
    <row r="849" customFormat="false" ht="15.75" hidden="false" customHeight="true" outlineLevel="0" collapsed="false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</row>
    <row r="850" customFormat="false" ht="15.75" hidden="false" customHeight="true" outlineLevel="0" collapsed="false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</row>
    <row r="851" customFormat="false" ht="15.75" hidden="false" customHeight="true" outlineLevel="0" collapsed="false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</row>
    <row r="852" customFormat="false" ht="15.75" hidden="false" customHeight="true" outlineLevel="0" collapsed="false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</row>
    <row r="853" customFormat="false" ht="15.75" hidden="false" customHeight="true" outlineLevel="0" collapsed="false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</row>
    <row r="854" customFormat="false" ht="15.75" hidden="false" customHeight="true" outlineLevel="0" collapsed="false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</row>
    <row r="855" customFormat="false" ht="15.75" hidden="false" customHeight="true" outlineLevel="0" collapsed="false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</row>
    <row r="856" customFormat="false" ht="15.75" hidden="false" customHeight="true" outlineLevel="0" collapsed="false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</row>
    <row r="857" customFormat="false" ht="15.75" hidden="false" customHeight="true" outlineLevel="0" collapsed="false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</row>
    <row r="858" customFormat="false" ht="15.75" hidden="false" customHeight="true" outlineLevel="0" collapsed="false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</row>
    <row r="859" customFormat="false" ht="15.75" hidden="false" customHeight="true" outlineLevel="0" collapsed="false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</row>
    <row r="860" customFormat="false" ht="15.75" hidden="false" customHeight="true" outlineLevel="0" collapsed="false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</row>
    <row r="861" customFormat="false" ht="15.75" hidden="false" customHeight="true" outlineLevel="0" collapsed="false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</row>
    <row r="862" customFormat="false" ht="15.75" hidden="false" customHeight="true" outlineLevel="0" collapsed="false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</row>
    <row r="863" customFormat="false" ht="15.75" hidden="false" customHeight="true" outlineLevel="0" collapsed="false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</row>
    <row r="864" customFormat="false" ht="15.75" hidden="false" customHeight="true" outlineLevel="0" collapsed="false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</row>
    <row r="865" customFormat="false" ht="15.75" hidden="false" customHeight="true" outlineLevel="0" collapsed="false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</row>
    <row r="866" customFormat="false" ht="15.75" hidden="false" customHeight="true" outlineLevel="0" collapsed="false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</row>
    <row r="867" customFormat="false" ht="15.75" hidden="false" customHeight="true" outlineLevel="0" collapsed="false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</row>
    <row r="868" customFormat="false" ht="15.75" hidden="false" customHeight="true" outlineLevel="0" collapsed="false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</row>
    <row r="869" customFormat="false" ht="15.75" hidden="false" customHeight="true" outlineLevel="0" collapsed="false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</row>
    <row r="870" customFormat="false" ht="15.75" hidden="false" customHeight="true" outlineLevel="0" collapsed="false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</row>
    <row r="871" customFormat="false" ht="15.75" hidden="false" customHeight="true" outlineLevel="0" collapsed="false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</row>
    <row r="872" customFormat="false" ht="15.75" hidden="false" customHeight="true" outlineLevel="0" collapsed="false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</row>
    <row r="873" customFormat="false" ht="15.75" hidden="false" customHeight="true" outlineLevel="0" collapsed="false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</row>
    <row r="874" customFormat="false" ht="15.75" hidden="false" customHeight="true" outlineLevel="0" collapsed="false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</row>
    <row r="875" customFormat="false" ht="15.75" hidden="false" customHeight="true" outlineLevel="0" collapsed="false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</row>
    <row r="876" customFormat="false" ht="15.75" hidden="false" customHeight="true" outlineLevel="0" collapsed="false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</row>
    <row r="877" customFormat="false" ht="15.75" hidden="false" customHeight="true" outlineLevel="0" collapsed="false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</row>
    <row r="878" customFormat="false" ht="15.75" hidden="false" customHeight="true" outlineLevel="0" collapsed="false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</row>
    <row r="879" customFormat="false" ht="15.75" hidden="false" customHeight="true" outlineLevel="0" collapsed="false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</row>
    <row r="880" customFormat="false" ht="15.75" hidden="false" customHeight="true" outlineLevel="0" collapsed="false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</row>
    <row r="881" customFormat="false" ht="15.75" hidden="false" customHeight="true" outlineLevel="0" collapsed="false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</row>
    <row r="882" customFormat="false" ht="15.75" hidden="false" customHeight="true" outlineLevel="0" collapsed="false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</row>
    <row r="883" customFormat="false" ht="15.75" hidden="false" customHeight="true" outlineLevel="0" collapsed="false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</row>
    <row r="884" customFormat="false" ht="15.75" hidden="false" customHeight="true" outlineLevel="0" collapsed="false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</row>
    <row r="885" customFormat="false" ht="15.75" hidden="false" customHeight="true" outlineLevel="0" collapsed="false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</row>
    <row r="886" customFormat="false" ht="15.75" hidden="false" customHeight="true" outlineLevel="0" collapsed="false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</row>
    <row r="887" customFormat="false" ht="15.75" hidden="false" customHeight="true" outlineLevel="0" collapsed="false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</row>
    <row r="888" customFormat="false" ht="15.75" hidden="false" customHeight="true" outlineLevel="0" collapsed="false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</row>
    <row r="889" customFormat="false" ht="15.75" hidden="false" customHeight="true" outlineLevel="0" collapsed="false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</row>
    <row r="890" customFormat="false" ht="15.75" hidden="false" customHeight="true" outlineLevel="0" collapsed="false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</row>
    <row r="891" customFormat="false" ht="15.75" hidden="false" customHeight="true" outlineLevel="0" collapsed="false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</row>
    <row r="892" customFormat="false" ht="15.75" hidden="false" customHeight="true" outlineLevel="0" collapsed="false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</row>
    <row r="893" customFormat="false" ht="15.75" hidden="false" customHeight="true" outlineLevel="0" collapsed="false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</row>
    <row r="894" customFormat="false" ht="15.75" hidden="false" customHeight="true" outlineLevel="0" collapsed="false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</row>
    <row r="895" customFormat="false" ht="15.75" hidden="false" customHeight="true" outlineLevel="0" collapsed="false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</row>
    <row r="896" customFormat="false" ht="15.75" hidden="false" customHeight="true" outlineLevel="0" collapsed="false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</row>
    <row r="897" customFormat="false" ht="15.75" hidden="false" customHeight="true" outlineLevel="0" collapsed="false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</row>
    <row r="898" customFormat="false" ht="15.75" hidden="false" customHeight="true" outlineLevel="0" collapsed="false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</row>
    <row r="899" customFormat="false" ht="15.75" hidden="false" customHeight="true" outlineLevel="0" collapsed="false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</row>
    <row r="900" customFormat="false" ht="15.75" hidden="false" customHeight="true" outlineLevel="0" collapsed="false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</row>
    <row r="901" customFormat="false" ht="15.75" hidden="false" customHeight="true" outlineLevel="0" collapsed="false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</row>
    <row r="902" customFormat="false" ht="15.75" hidden="false" customHeight="true" outlineLevel="0" collapsed="false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</row>
    <row r="903" customFormat="false" ht="15.75" hidden="false" customHeight="true" outlineLevel="0" collapsed="false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</row>
    <row r="904" customFormat="false" ht="15.75" hidden="false" customHeight="true" outlineLevel="0" collapsed="false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</row>
    <row r="905" customFormat="false" ht="15.75" hidden="false" customHeight="true" outlineLevel="0" collapsed="false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</row>
    <row r="906" customFormat="false" ht="15.75" hidden="false" customHeight="true" outlineLevel="0" collapsed="false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</row>
    <row r="907" customFormat="false" ht="15.75" hidden="false" customHeight="true" outlineLevel="0" collapsed="false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</row>
    <row r="908" customFormat="false" ht="15.75" hidden="false" customHeight="true" outlineLevel="0" collapsed="false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</row>
    <row r="909" customFormat="false" ht="15.75" hidden="false" customHeight="true" outlineLevel="0" collapsed="false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</row>
    <row r="910" customFormat="false" ht="15.75" hidden="false" customHeight="true" outlineLevel="0" collapsed="false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</row>
    <row r="911" customFormat="false" ht="15.75" hidden="false" customHeight="true" outlineLevel="0" collapsed="false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</row>
    <row r="912" customFormat="false" ht="15.75" hidden="false" customHeight="true" outlineLevel="0" collapsed="false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</row>
    <row r="913" customFormat="false" ht="15.75" hidden="false" customHeight="true" outlineLevel="0" collapsed="false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</row>
    <row r="914" customFormat="false" ht="15.75" hidden="false" customHeight="true" outlineLevel="0" collapsed="false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</row>
    <row r="915" customFormat="false" ht="15.75" hidden="false" customHeight="true" outlineLevel="0" collapsed="false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</row>
    <row r="916" customFormat="false" ht="15.75" hidden="false" customHeight="true" outlineLevel="0" collapsed="false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</row>
    <row r="917" customFormat="false" ht="15.75" hidden="false" customHeight="true" outlineLevel="0" collapsed="false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</row>
    <row r="918" customFormat="false" ht="15.75" hidden="false" customHeight="true" outlineLevel="0" collapsed="false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</row>
    <row r="919" customFormat="false" ht="15.75" hidden="false" customHeight="true" outlineLevel="0" collapsed="false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</row>
    <row r="920" customFormat="false" ht="15.75" hidden="false" customHeight="true" outlineLevel="0" collapsed="false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</row>
    <row r="921" customFormat="false" ht="15.75" hidden="false" customHeight="true" outlineLevel="0" collapsed="false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</row>
    <row r="922" customFormat="false" ht="15.75" hidden="false" customHeight="true" outlineLevel="0" collapsed="false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</row>
    <row r="923" customFormat="false" ht="15.75" hidden="false" customHeight="true" outlineLevel="0" collapsed="false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</row>
    <row r="924" customFormat="false" ht="15.75" hidden="false" customHeight="true" outlineLevel="0" collapsed="false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</row>
    <row r="925" customFormat="false" ht="15.75" hidden="false" customHeight="true" outlineLevel="0" collapsed="false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</row>
    <row r="926" customFormat="false" ht="15.75" hidden="false" customHeight="true" outlineLevel="0" collapsed="false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</row>
    <row r="927" customFormat="false" ht="15.75" hidden="false" customHeight="true" outlineLevel="0" collapsed="false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</row>
    <row r="928" customFormat="false" ht="15.75" hidden="false" customHeight="true" outlineLevel="0" collapsed="false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</row>
    <row r="929" customFormat="false" ht="15.75" hidden="false" customHeight="true" outlineLevel="0" collapsed="false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</row>
    <row r="930" customFormat="false" ht="15.75" hidden="false" customHeight="true" outlineLevel="0" collapsed="false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</row>
    <row r="931" customFormat="false" ht="15.75" hidden="false" customHeight="true" outlineLevel="0" collapsed="false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</row>
    <row r="932" customFormat="false" ht="15.75" hidden="false" customHeight="true" outlineLevel="0" collapsed="false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</row>
    <row r="933" customFormat="false" ht="15.75" hidden="false" customHeight="true" outlineLevel="0" collapsed="false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</row>
    <row r="934" customFormat="false" ht="15.75" hidden="false" customHeight="true" outlineLevel="0" collapsed="false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</row>
    <row r="935" customFormat="false" ht="15.75" hidden="false" customHeight="true" outlineLevel="0" collapsed="false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</row>
    <row r="936" customFormat="false" ht="15.75" hidden="false" customHeight="true" outlineLevel="0" collapsed="false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</row>
    <row r="937" customFormat="false" ht="15.75" hidden="false" customHeight="true" outlineLevel="0" collapsed="false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</row>
    <row r="938" customFormat="false" ht="15.75" hidden="false" customHeight="true" outlineLevel="0" collapsed="false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</row>
    <row r="939" customFormat="false" ht="15.75" hidden="false" customHeight="true" outlineLevel="0" collapsed="false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</row>
    <row r="940" customFormat="false" ht="15.75" hidden="false" customHeight="true" outlineLevel="0" collapsed="false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</row>
    <row r="941" customFormat="false" ht="15.75" hidden="false" customHeight="true" outlineLevel="0" collapsed="false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</row>
    <row r="942" customFormat="false" ht="15.75" hidden="false" customHeight="true" outlineLevel="0" collapsed="false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</row>
    <row r="943" customFormat="false" ht="15.75" hidden="false" customHeight="true" outlineLevel="0" collapsed="false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</row>
    <row r="944" customFormat="false" ht="15.75" hidden="false" customHeight="true" outlineLevel="0" collapsed="false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</row>
    <row r="945" customFormat="false" ht="15.75" hidden="false" customHeight="true" outlineLevel="0" collapsed="false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</row>
    <row r="946" customFormat="false" ht="15.75" hidden="false" customHeight="true" outlineLevel="0" collapsed="false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</row>
    <row r="947" customFormat="false" ht="15.75" hidden="false" customHeight="true" outlineLevel="0" collapsed="false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</row>
    <row r="948" customFormat="false" ht="15.75" hidden="false" customHeight="true" outlineLevel="0" collapsed="false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</row>
    <row r="949" customFormat="false" ht="15.75" hidden="false" customHeight="true" outlineLevel="0" collapsed="false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</row>
    <row r="950" customFormat="false" ht="15.75" hidden="false" customHeight="true" outlineLevel="0" collapsed="false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</row>
    <row r="951" customFormat="false" ht="15.75" hidden="false" customHeight="true" outlineLevel="0" collapsed="false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</row>
    <row r="952" customFormat="false" ht="15.75" hidden="false" customHeight="true" outlineLevel="0" collapsed="false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</row>
    <row r="953" customFormat="false" ht="15.75" hidden="false" customHeight="true" outlineLevel="0" collapsed="false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</row>
    <row r="954" customFormat="false" ht="15.75" hidden="false" customHeight="true" outlineLevel="0" collapsed="false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</row>
    <row r="955" customFormat="false" ht="15.75" hidden="false" customHeight="true" outlineLevel="0" collapsed="false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</row>
    <row r="956" customFormat="false" ht="15.75" hidden="false" customHeight="true" outlineLevel="0" collapsed="false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</row>
    <row r="957" customFormat="false" ht="15.75" hidden="false" customHeight="true" outlineLevel="0" collapsed="false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</row>
    <row r="958" customFormat="false" ht="15.75" hidden="false" customHeight="true" outlineLevel="0" collapsed="false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</row>
    <row r="959" customFormat="false" ht="15.75" hidden="false" customHeight="true" outlineLevel="0" collapsed="false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</row>
    <row r="960" customFormat="false" ht="15.75" hidden="false" customHeight="true" outlineLevel="0" collapsed="false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</row>
    <row r="961" customFormat="false" ht="15.75" hidden="false" customHeight="true" outlineLevel="0" collapsed="false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</row>
    <row r="962" customFormat="false" ht="15.75" hidden="false" customHeight="true" outlineLevel="0" collapsed="false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</row>
    <row r="963" customFormat="false" ht="15.75" hidden="false" customHeight="true" outlineLevel="0" collapsed="false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</row>
    <row r="964" customFormat="false" ht="15.75" hidden="false" customHeight="true" outlineLevel="0" collapsed="false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</row>
    <row r="965" customFormat="false" ht="15.75" hidden="false" customHeight="true" outlineLevel="0" collapsed="false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</row>
    <row r="966" customFormat="false" ht="15.75" hidden="false" customHeight="true" outlineLevel="0" collapsed="false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</row>
    <row r="967" customFormat="false" ht="15.75" hidden="false" customHeight="true" outlineLevel="0" collapsed="false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</row>
    <row r="968" customFormat="false" ht="15.75" hidden="false" customHeight="true" outlineLevel="0" collapsed="false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</row>
    <row r="969" customFormat="false" ht="15.75" hidden="false" customHeight="true" outlineLevel="0" collapsed="false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</row>
    <row r="970" customFormat="false" ht="15.75" hidden="false" customHeight="true" outlineLevel="0" collapsed="false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</row>
    <row r="971" customFormat="false" ht="15.75" hidden="false" customHeight="true" outlineLevel="0" collapsed="false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</row>
    <row r="972" customFormat="false" ht="15.75" hidden="false" customHeight="true" outlineLevel="0" collapsed="false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</row>
    <row r="973" customFormat="false" ht="15.75" hidden="false" customHeight="true" outlineLevel="0" collapsed="false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</row>
    <row r="974" customFormat="false" ht="15.75" hidden="false" customHeight="true" outlineLevel="0" collapsed="false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</row>
    <row r="975" customFormat="false" ht="15.75" hidden="false" customHeight="true" outlineLevel="0" collapsed="false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</row>
    <row r="976" customFormat="false" ht="15.75" hidden="false" customHeight="true" outlineLevel="0" collapsed="false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</row>
    <row r="977" customFormat="false" ht="15.75" hidden="false" customHeight="true" outlineLevel="0" collapsed="false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</row>
    <row r="978" customFormat="false" ht="15.75" hidden="false" customHeight="true" outlineLevel="0" collapsed="false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</row>
    <row r="979" customFormat="false" ht="15.75" hidden="false" customHeight="true" outlineLevel="0" collapsed="false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</row>
    <row r="980" customFormat="false" ht="15.75" hidden="false" customHeight="true" outlineLevel="0" collapsed="false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</row>
    <row r="981" customFormat="false" ht="15.75" hidden="false" customHeight="true" outlineLevel="0" collapsed="false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</row>
    <row r="982" customFormat="false" ht="15.75" hidden="false" customHeight="true" outlineLevel="0" collapsed="false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</row>
    <row r="983" customFormat="false" ht="15.75" hidden="false" customHeight="true" outlineLevel="0" collapsed="false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</row>
    <row r="984" customFormat="false" ht="15.75" hidden="false" customHeight="true" outlineLevel="0" collapsed="false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</row>
    <row r="985" customFormat="false" ht="15.75" hidden="false" customHeight="true" outlineLevel="0" collapsed="false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</row>
    <row r="986" customFormat="false" ht="15.75" hidden="false" customHeight="true" outlineLevel="0" collapsed="false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</row>
    <row r="987" customFormat="false" ht="15.75" hidden="false" customHeight="true" outlineLevel="0" collapsed="false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</row>
    <row r="988" customFormat="false" ht="15.75" hidden="false" customHeight="true" outlineLevel="0" collapsed="false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</row>
    <row r="989" customFormat="false" ht="15.75" hidden="false" customHeight="true" outlineLevel="0" collapsed="false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</row>
    <row r="990" customFormat="false" ht="15.75" hidden="false" customHeight="true" outlineLevel="0" collapsed="false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</row>
    <row r="991" customFormat="false" ht="15.75" hidden="false" customHeight="true" outlineLevel="0" collapsed="false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</row>
    <row r="992" customFormat="false" ht="15.75" hidden="false" customHeight="true" outlineLevel="0" collapsed="false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</row>
    <row r="993" customFormat="false" ht="15.75" hidden="false" customHeight="true" outlineLevel="0" collapsed="false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</row>
    <row r="994" customFormat="false" ht="15.75" hidden="false" customHeight="true" outlineLevel="0" collapsed="false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</row>
    <row r="995" customFormat="false" ht="15.75" hidden="false" customHeight="true" outlineLevel="0" collapsed="false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</row>
    <row r="996" customFormat="false" ht="15.75" hidden="false" customHeight="true" outlineLevel="0" collapsed="false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</row>
    <row r="997" customFormat="false" ht="15.75" hidden="false" customHeight="true" outlineLevel="0" collapsed="false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</row>
    <row r="998" customFormat="false" ht="15.75" hidden="false" customHeight="true" outlineLevel="0" collapsed="false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</row>
    <row r="999" customFormat="false" ht="15.75" hidden="false" customHeight="true" outlineLevel="0" collapsed="false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</row>
    <row r="1000" customFormat="false" ht="15.75" hidden="false" customHeight="true" outlineLevel="0" collapsed="false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</row>
  </sheetData>
  <dataValidations count="4">
    <dataValidation allowBlank="true" errorStyle="stop" operator="between" showDropDown="false" showErrorMessage="false" showInputMessage="false" sqref="K6:K105" type="list">
      <formula1>"Pendiente,Pedido al proveedor,Llegó,Entregado,Cancelado"</formula1>
      <formula2>0</formula2>
    </dataValidation>
    <dataValidation allowBlank="true" errorStyle="stop" operator="between" showDropDown="false" showErrorMessage="false" showInputMessage="false" sqref="F6:F105" type="list">
      <formula1>"Único,Chico,Mediano,Grande"</formula1>
      <formula2>0</formula2>
    </dataValidation>
    <dataValidation allowBlank="true" errorStyle="stop" operator="between" showDropDown="false" showErrorMessage="false" showInputMessage="false" sqref="D6:D105" type="list">
      <formula1>Costos!$A$23:$A$122</formula1>
      <formula2>0</formula2>
    </dataValidation>
    <dataValidation allowBlank="true" errorStyle="stop" operator="between" showDropDown="false" showErrorMessage="false" showInputMessage="false" sqref="E6:E105" type="list">
      <formula1>"Docha,Blert,925 ARG,otro"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7" activeCellId="0" sqref="B7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3"/>
    <col collapsed="false" customWidth="true" hidden="false" outlineLevel="0" max="7" min="7" style="0" width="38"/>
    <col collapsed="false" customWidth="true" hidden="false" outlineLevel="0" max="8" min="8" style="0" width="14"/>
    <col collapsed="false" customWidth="true" hidden="false" outlineLevel="0" max="26" min="9" style="0" width="8.63"/>
  </cols>
  <sheetData>
    <row r="1" customFormat="false" ht="17.25" hidden="false" customHeight="true" outlineLevel="0" collapsed="false">
      <c r="A1" s="38" t="s">
        <v>364</v>
      </c>
      <c r="B1" s="77"/>
      <c r="C1" s="77"/>
      <c r="D1" s="77"/>
      <c r="E1" s="77"/>
      <c r="F1" s="77"/>
      <c r="G1" s="77"/>
      <c r="H1" s="77"/>
    </row>
    <row r="2" customFormat="false" ht="15" hidden="false" customHeight="true" outlineLevel="0" collapsed="false">
      <c r="A2" s="78" t="s">
        <v>365</v>
      </c>
      <c r="B2" s="77"/>
      <c r="C2" s="77"/>
      <c r="D2" s="77"/>
      <c r="E2" s="77"/>
      <c r="F2" s="77"/>
      <c r="G2" s="77"/>
      <c r="H2" s="77"/>
    </row>
    <row r="3" customFormat="false" ht="15" hidden="false" customHeight="true" outlineLevel="0" collapsed="false">
      <c r="A3" s="78" t="s">
        <v>366</v>
      </c>
      <c r="B3" s="77"/>
      <c r="C3" s="77"/>
      <c r="D3" s="77"/>
      <c r="E3" s="77"/>
      <c r="F3" s="77"/>
      <c r="G3" s="77"/>
      <c r="H3" s="77"/>
    </row>
    <row r="4" customFormat="false" ht="15" hidden="false" customHeight="false" outlineLevel="0" collapsed="false">
      <c r="A4" s="77"/>
      <c r="B4" s="77"/>
      <c r="C4" s="77"/>
      <c r="D4" s="77"/>
      <c r="E4" s="77"/>
      <c r="F4" s="77"/>
      <c r="G4" s="77"/>
      <c r="H4" s="77"/>
    </row>
    <row r="5" customFormat="false" ht="15" hidden="false" customHeight="true" outlineLevel="0" collapsed="false">
      <c r="A5" s="94" t="s">
        <v>245</v>
      </c>
      <c r="B5" s="94" t="s">
        <v>367</v>
      </c>
      <c r="C5" s="94" t="s">
        <v>35</v>
      </c>
      <c r="D5" s="94" t="s">
        <v>368</v>
      </c>
      <c r="E5" s="94" t="s">
        <v>369</v>
      </c>
      <c r="F5" s="77"/>
      <c r="G5" s="92" t="s">
        <v>370</v>
      </c>
      <c r="H5" s="91" t="n">
        <v>46260</v>
      </c>
    </row>
    <row r="6" customFormat="false" ht="15" hidden="false" customHeight="true" outlineLevel="0" collapsed="false">
      <c r="A6" s="95" t="n">
        <v>46244</v>
      </c>
      <c r="B6" s="90" t="s">
        <v>371</v>
      </c>
      <c r="C6" s="90" t="s">
        <v>372</v>
      </c>
      <c r="D6" s="90" t="s">
        <v>373</v>
      </c>
      <c r="E6" s="96" t="n">
        <v>35000</v>
      </c>
      <c r="F6" s="77"/>
      <c r="G6" s="77"/>
      <c r="H6" s="77"/>
    </row>
    <row r="7" customFormat="false" ht="15" hidden="false" customHeight="true" outlineLevel="0" collapsed="false">
      <c r="A7" s="95" t="n">
        <v>46244</v>
      </c>
      <c r="B7" s="90" t="s">
        <v>374</v>
      </c>
      <c r="C7" s="90" t="s">
        <v>372</v>
      </c>
      <c r="D7" s="90" t="s">
        <v>373</v>
      </c>
      <c r="E7" s="96" t="n">
        <v>6500</v>
      </c>
      <c r="F7" s="77"/>
      <c r="G7" s="71" t="s">
        <v>375</v>
      </c>
      <c r="H7" s="77"/>
    </row>
    <row r="8" customFormat="false" ht="15" hidden="false" customHeight="true" outlineLevel="0" collapsed="false">
      <c r="A8" s="91" t="n">
        <v>46266</v>
      </c>
      <c r="B8" s="90" t="s">
        <v>371</v>
      </c>
      <c r="C8" s="90" t="s">
        <v>372</v>
      </c>
      <c r="D8" s="90" t="s">
        <v>376</v>
      </c>
      <c r="E8" s="97" t="n">
        <v>22000</v>
      </c>
      <c r="F8" s="77"/>
      <c r="G8" s="92" t="s">
        <v>377</v>
      </c>
      <c r="H8" s="89" t="n">
        <f aca="false">SUMIFS(Compras!$F$6:$F$605,Compras!$A$6:$A$605,"&lt;="&amp;$H$5)</f>
        <v>535635.242191142</v>
      </c>
    </row>
    <row r="9" customFormat="false" ht="15" hidden="false" customHeight="true" outlineLevel="0" collapsed="false">
      <c r="A9" s="91" t="n">
        <v>46266</v>
      </c>
      <c r="B9" s="90" t="s">
        <v>371</v>
      </c>
      <c r="C9" s="98" t="s">
        <v>372</v>
      </c>
      <c r="D9" s="98" t="s">
        <v>376</v>
      </c>
      <c r="E9" s="97" t="n">
        <v>10000</v>
      </c>
      <c r="F9" s="77"/>
      <c r="G9" s="92" t="s">
        <v>378</v>
      </c>
      <c r="H9" s="89" t="n">
        <f aca="false">SUMIFS($E$6:$E$300,$A$6:$A$300,"&lt;="&amp;$H$5)</f>
        <v>41500</v>
      </c>
    </row>
    <row r="10" customFormat="false" ht="15" hidden="false" customHeight="true" outlineLevel="0" collapsed="false">
      <c r="A10" s="99" t="n">
        <v>46272</v>
      </c>
      <c r="B10" s="90" t="s">
        <v>379</v>
      </c>
      <c r="C10" s="90" t="s">
        <v>380</v>
      </c>
      <c r="D10" s="90" t="s">
        <v>376</v>
      </c>
      <c r="E10" s="97" t="n">
        <v>9800</v>
      </c>
      <c r="F10" s="77"/>
      <c r="G10" s="100" t="s">
        <v>381</v>
      </c>
      <c r="H10" s="101" t="n">
        <f aca="false">H8+H9</f>
        <v>577135.242191142</v>
      </c>
    </row>
    <row r="11" customFormat="false" ht="15" hidden="false" customHeight="true" outlineLevel="0" collapsed="false">
      <c r="A11" s="99" t="n">
        <v>46272</v>
      </c>
      <c r="B11" s="90" t="s">
        <v>382</v>
      </c>
      <c r="C11" s="90" t="s">
        <v>380</v>
      </c>
      <c r="D11" s="90" t="s">
        <v>376</v>
      </c>
      <c r="E11" s="97" t="n">
        <v>7500</v>
      </c>
      <c r="F11" s="77"/>
      <c r="G11" s="92" t="s">
        <v>383</v>
      </c>
      <c r="H11" s="89" t="n">
        <f aca="false">SUM(Ventas!$F$6:$F$605)</f>
        <v>978500</v>
      </c>
    </row>
    <row r="12" customFormat="false" ht="15" hidden="false" customHeight="true" outlineLevel="0" collapsed="false">
      <c r="A12" s="91" t="n">
        <v>46274</v>
      </c>
      <c r="B12" s="90" t="s">
        <v>384</v>
      </c>
      <c r="C12" s="90" t="s">
        <v>380</v>
      </c>
      <c r="D12" s="90" t="s">
        <v>376</v>
      </c>
      <c r="E12" s="97" t="n">
        <v>8915</v>
      </c>
      <c r="F12" s="77"/>
      <c r="G12" s="100" t="s">
        <v>385</v>
      </c>
      <c r="H12" s="101" t="n">
        <f aca="false">MAX(0,H10-H11)</f>
        <v>0</v>
      </c>
    </row>
    <row r="13" customFormat="false" ht="15" hidden="false" customHeight="true" outlineLevel="0" collapsed="false">
      <c r="A13" s="91"/>
      <c r="B13" s="90"/>
      <c r="C13" s="90"/>
      <c r="D13" s="90"/>
      <c r="E13" s="97"/>
      <c r="F13" s="77"/>
      <c r="G13" s="100" t="s">
        <v>386</v>
      </c>
      <c r="H13" s="102" t="n">
        <f aca="false">IF(H10=0,"",MIN(1,H11/H10))</f>
        <v>1</v>
      </c>
    </row>
    <row r="14" customFormat="false" ht="15" hidden="false" customHeight="true" outlineLevel="0" collapsed="false">
      <c r="A14" s="91"/>
      <c r="B14" s="90"/>
      <c r="C14" s="90"/>
      <c r="D14" s="90"/>
      <c r="E14" s="97"/>
      <c r="F14" s="77"/>
      <c r="G14" s="77"/>
      <c r="H14" s="77"/>
    </row>
    <row r="15" customFormat="false" ht="15" hidden="false" customHeight="true" outlineLevel="0" collapsed="false">
      <c r="A15" s="91"/>
      <c r="B15" s="90"/>
      <c r="C15" s="90"/>
      <c r="D15" s="90"/>
      <c r="E15" s="97"/>
      <c r="F15" s="77"/>
      <c r="G15" s="71" t="s">
        <v>387</v>
      </c>
      <c r="H15" s="77"/>
    </row>
    <row r="16" customFormat="false" ht="15" hidden="false" customHeight="true" outlineLevel="0" collapsed="false">
      <c r="A16" s="91"/>
      <c r="B16" s="90"/>
      <c r="C16" s="90"/>
      <c r="D16" s="90"/>
      <c r="E16" s="97"/>
      <c r="F16" s="77"/>
      <c r="G16" s="92" t="s">
        <v>388</v>
      </c>
      <c r="H16" s="89" t="n">
        <f aca="false">SUM(Compras!$F$6:$F$605)-H8</f>
        <v>785727.068065268</v>
      </c>
    </row>
    <row r="17" customFormat="false" ht="15" hidden="false" customHeight="true" outlineLevel="0" collapsed="false">
      <c r="A17" s="91"/>
      <c r="B17" s="90"/>
      <c r="C17" s="90"/>
      <c r="D17" s="90"/>
      <c r="E17" s="97"/>
      <c r="F17" s="77"/>
      <c r="G17" s="92" t="s">
        <v>389</v>
      </c>
      <c r="H17" s="89" t="n">
        <f aca="false">SUMIFS($E$6:$E$300,$D$6:$D$300,"bolsillo",$A$6:$A$300,"&gt;"&amp;$H$5)</f>
        <v>0</v>
      </c>
    </row>
    <row r="18" customFormat="false" ht="15" hidden="false" customHeight="true" outlineLevel="0" collapsed="false">
      <c r="A18" s="91"/>
      <c r="B18" s="90"/>
      <c r="C18" s="90"/>
      <c r="D18" s="90"/>
      <c r="E18" s="97"/>
      <c r="F18" s="77"/>
      <c r="G18" s="92" t="s">
        <v>390</v>
      </c>
      <c r="H18" s="89" t="n">
        <f aca="false">H16-H17</f>
        <v>785727.068065268</v>
      </c>
    </row>
    <row r="19" customFormat="false" ht="15" hidden="false" customHeight="true" outlineLevel="0" collapsed="false">
      <c r="A19" s="91"/>
      <c r="B19" s="90"/>
      <c r="C19" s="90"/>
      <c r="D19" s="90"/>
      <c r="E19" s="97"/>
      <c r="F19" s="77"/>
      <c r="G19" s="77"/>
      <c r="H19" s="77"/>
    </row>
    <row r="20" customFormat="false" ht="15" hidden="false" customHeight="true" outlineLevel="0" collapsed="false">
      <c r="A20" s="91"/>
      <c r="B20" s="90"/>
      <c r="C20" s="90"/>
      <c r="D20" s="90"/>
      <c r="E20" s="97"/>
      <c r="F20" s="77"/>
      <c r="G20" s="71" t="s">
        <v>391</v>
      </c>
      <c r="H20" s="77"/>
    </row>
    <row r="21" customFormat="false" ht="15" hidden="false" customHeight="true" outlineLevel="0" collapsed="false">
      <c r="A21" s="91"/>
      <c r="B21" s="90"/>
      <c r="C21" s="90"/>
      <c r="D21" s="90"/>
      <c r="E21" s="97"/>
      <c r="F21" s="77"/>
      <c r="G21" s="92" t="s">
        <v>392</v>
      </c>
      <c r="H21" s="89" t="n">
        <f aca="false">SUMPRODUCT(SUMIF(Costos!$A$23:$A$200,Ventas!$B$6:$B$605,Costos!$I$23:$I$200)*Ventas!$D$6:$D$605)</f>
        <v>565881.101864802</v>
      </c>
    </row>
    <row r="22" customFormat="false" ht="15" hidden="false" customHeight="true" outlineLevel="0" collapsed="false">
      <c r="A22" s="91"/>
      <c r="B22" s="90"/>
      <c r="C22" s="90"/>
      <c r="D22" s="90"/>
      <c r="E22" s="97"/>
      <c r="F22" s="77"/>
      <c r="G22" s="100" t="s">
        <v>393</v>
      </c>
      <c r="H22" s="103" t="n">
        <v>0</v>
      </c>
    </row>
    <row r="23" customFormat="false" ht="15" hidden="false" customHeight="true" outlineLevel="0" collapsed="false">
      <c r="A23" s="91"/>
      <c r="B23" s="90"/>
      <c r="C23" s="90"/>
      <c r="D23" s="90"/>
      <c r="E23" s="97"/>
      <c r="F23" s="77"/>
      <c r="G23" s="100" t="s">
        <v>394</v>
      </c>
      <c r="H23" s="101" t="n">
        <f aca="false">559000-H22</f>
        <v>559000</v>
      </c>
    </row>
    <row r="24" customFormat="false" ht="15" hidden="false" customHeight="true" outlineLevel="0" collapsed="false">
      <c r="A24" s="91"/>
      <c r="B24" s="90"/>
      <c r="C24" s="90"/>
      <c r="D24" s="90"/>
      <c r="E24" s="97"/>
      <c r="F24" s="77"/>
      <c r="G24" s="100" t="s">
        <v>395</v>
      </c>
      <c r="H24" s="89" t="n">
        <f aca="false">H11-H16-SUMIFS($E$6:$E$300,$A$6:$A$300,"&gt;"&amp;$H$5,$D$6:$D$300,"ventas")</f>
        <v>134557.931934732</v>
      </c>
    </row>
    <row r="25" customFormat="false" ht="15" hidden="false" customHeight="true" outlineLevel="0" collapsed="false">
      <c r="A25" s="91"/>
      <c r="B25" s="90"/>
      <c r="C25" s="90"/>
      <c r="D25" s="90"/>
      <c r="E25" s="97"/>
      <c r="F25" s="77"/>
    </row>
    <row r="26" customFormat="false" ht="15" hidden="false" customHeight="true" outlineLevel="0" collapsed="false">
      <c r="A26" s="91"/>
      <c r="B26" s="90"/>
      <c r="C26" s="90"/>
      <c r="D26" s="90"/>
      <c r="E26" s="97"/>
      <c r="F26" s="77"/>
    </row>
    <row r="27" customFormat="false" ht="15" hidden="false" customHeight="true" outlineLevel="0" collapsed="false">
      <c r="A27" s="91"/>
      <c r="B27" s="90"/>
      <c r="C27" s="90"/>
      <c r="D27" s="90"/>
      <c r="E27" s="97"/>
      <c r="F27" s="77"/>
    </row>
    <row r="28" customFormat="false" ht="15" hidden="false" customHeight="true" outlineLevel="0" collapsed="false">
      <c r="A28" s="91"/>
      <c r="B28" s="90"/>
      <c r="C28" s="90"/>
      <c r="D28" s="90"/>
      <c r="E28" s="97"/>
      <c r="F28" s="77"/>
    </row>
    <row r="29" customFormat="false" ht="15" hidden="false" customHeight="true" outlineLevel="0" collapsed="false">
      <c r="A29" s="91"/>
      <c r="B29" s="90"/>
      <c r="C29" s="90"/>
      <c r="D29" s="90"/>
      <c r="E29" s="97"/>
      <c r="F29" s="77"/>
    </row>
    <row r="30" customFormat="false" ht="15" hidden="false" customHeight="true" outlineLevel="0" collapsed="false">
      <c r="A30" s="91"/>
      <c r="B30" s="90"/>
      <c r="C30" s="90"/>
      <c r="D30" s="90"/>
      <c r="E30" s="97"/>
      <c r="F30" s="77"/>
      <c r="G30" s="78" t="s">
        <v>396</v>
      </c>
      <c r="H30" s="77"/>
    </row>
    <row r="31" customFormat="false" ht="15" hidden="false" customHeight="true" outlineLevel="0" collapsed="false">
      <c r="A31" s="91"/>
      <c r="B31" s="90"/>
      <c r="C31" s="90"/>
      <c r="D31" s="90"/>
      <c r="E31" s="97"/>
      <c r="F31" s="77"/>
      <c r="G31" s="78" t="s">
        <v>397</v>
      </c>
      <c r="H31" s="77"/>
    </row>
    <row r="32" customFormat="false" ht="15" hidden="false" customHeight="true" outlineLevel="0" collapsed="false">
      <c r="A32" s="91"/>
      <c r="B32" s="90"/>
      <c r="C32" s="90"/>
      <c r="D32" s="90"/>
      <c r="E32" s="97"/>
      <c r="F32" s="77"/>
      <c r="G32" s="78" t="s">
        <v>398</v>
      </c>
      <c r="H32" s="77"/>
    </row>
    <row r="33" customFormat="false" ht="15" hidden="false" customHeight="true" outlineLevel="0" collapsed="false">
      <c r="A33" s="91"/>
      <c r="B33" s="90"/>
      <c r="C33" s="90"/>
      <c r="D33" s="90"/>
      <c r="E33" s="97"/>
      <c r="F33" s="77"/>
      <c r="G33" s="78" t="s">
        <v>399</v>
      </c>
      <c r="H33" s="77"/>
    </row>
    <row r="34" customFormat="false" ht="15" hidden="false" customHeight="true" outlineLevel="0" collapsed="false">
      <c r="A34" s="91"/>
      <c r="B34" s="90"/>
      <c r="C34" s="90"/>
      <c r="D34" s="90"/>
      <c r="E34" s="97"/>
      <c r="F34" s="77"/>
      <c r="G34" s="78" t="s">
        <v>400</v>
      </c>
      <c r="H34" s="77"/>
    </row>
    <row r="35" customFormat="false" ht="15" hidden="false" customHeight="true" outlineLevel="0" collapsed="false">
      <c r="A35" s="91"/>
      <c r="B35" s="90"/>
      <c r="C35" s="90"/>
      <c r="D35" s="90"/>
      <c r="E35" s="97"/>
      <c r="F35" s="77"/>
      <c r="G35" s="78" t="s">
        <v>401</v>
      </c>
      <c r="H35" s="77"/>
    </row>
    <row r="36" customFormat="false" ht="15" hidden="false" customHeight="true" outlineLevel="0" collapsed="false">
      <c r="A36" s="91"/>
      <c r="B36" s="90"/>
      <c r="C36" s="90"/>
      <c r="D36" s="90"/>
      <c r="E36" s="97"/>
      <c r="F36" s="77"/>
      <c r="G36" s="77"/>
      <c r="H36" s="77"/>
    </row>
    <row r="37" customFormat="false" ht="15" hidden="false" customHeight="true" outlineLevel="0" collapsed="false">
      <c r="A37" s="91"/>
      <c r="B37" s="90"/>
      <c r="C37" s="90"/>
      <c r="D37" s="90"/>
      <c r="E37" s="97"/>
      <c r="F37" s="77"/>
      <c r="G37" s="77"/>
      <c r="H37" s="77"/>
    </row>
    <row r="38" customFormat="false" ht="15" hidden="false" customHeight="true" outlineLevel="0" collapsed="false">
      <c r="A38" s="91"/>
      <c r="B38" s="90"/>
      <c r="C38" s="90"/>
      <c r="D38" s="90"/>
      <c r="E38" s="97"/>
      <c r="F38" s="77"/>
      <c r="G38" s="77"/>
      <c r="H38" s="77"/>
    </row>
    <row r="39" customFormat="false" ht="15" hidden="false" customHeight="true" outlineLevel="0" collapsed="false">
      <c r="A39" s="91"/>
      <c r="B39" s="90"/>
      <c r="C39" s="90"/>
      <c r="D39" s="90"/>
      <c r="E39" s="97"/>
      <c r="F39" s="77"/>
      <c r="G39" s="77"/>
      <c r="H39" s="77"/>
    </row>
    <row r="40" customFormat="false" ht="15" hidden="false" customHeight="true" outlineLevel="0" collapsed="false">
      <c r="A40" s="91"/>
      <c r="B40" s="90"/>
      <c r="C40" s="90"/>
      <c r="D40" s="90"/>
      <c r="E40" s="97"/>
      <c r="F40" s="77"/>
      <c r="G40" s="77"/>
      <c r="H40" s="77"/>
    </row>
    <row r="41" customFormat="false" ht="15" hidden="false" customHeight="true" outlineLevel="0" collapsed="false">
      <c r="A41" s="91"/>
      <c r="B41" s="90"/>
      <c r="C41" s="90"/>
      <c r="D41" s="90"/>
      <c r="E41" s="97"/>
      <c r="F41" s="77"/>
      <c r="G41" s="77"/>
      <c r="H41" s="77"/>
    </row>
    <row r="42" customFormat="false" ht="15" hidden="false" customHeight="true" outlineLevel="0" collapsed="false">
      <c r="A42" s="91"/>
      <c r="B42" s="90"/>
      <c r="C42" s="90"/>
      <c r="D42" s="90"/>
      <c r="E42" s="97"/>
      <c r="F42" s="77"/>
      <c r="G42" s="77"/>
      <c r="H42" s="77"/>
    </row>
    <row r="43" customFormat="false" ht="15" hidden="false" customHeight="true" outlineLevel="0" collapsed="false">
      <c r="A43" s="91"/>
      <c r="B43" s="90"/>
      <c r="C43" s="90"/>
      <c r="D43" s="90"/>
      <c r="E43" s="97"/>
      <c r="F43" s="77"/>
      <c r="G43" s="77"/>
      <c r="H43" s="77"/>
    </row>
    <row r="44" customFormat="false" ht="15" hidden="false" customHeight="true" outlineLevel="0" collapsed="false">
      <c r="A44" s="91"/>
      <c r="B44" s="90"/>
      <c r="C44" s="90"/>
      <c r="D44" s="90"/>
      <c r="E44" s="97"/>
      <c r="F44" s="77"/>
      <c r="G44" s="77"/>
      <c r="H44" s="77"/>
    </row>
    <row r="45" customFormat="false" ht="15" hidden="false" customHeight="true" outlineLevel="0" collapsed="false">
      <c r="A45" s="91"/>
      <c r="B45" s="90"/>
      <c r="C45" s="90"/>
      <c r="D45" s="90"/>
      <c r="E45" s="97"/>
      <c r="F45" s="77"/>
      <c r="G45" s="77"/>
      <c r="H45" s="77"/>
    </row>
    <row r="46" customFormat="false" ht="15" hidden="false" customHeight="true" outlineLevel="0" collapsed="false">
      <c r="A46" s="91"/>
      <c r="B46" s="90"/>
      <c r="C46" s="90"/>
      <c r="D46" s="90"/>
      <c r="E46" s="97"/>
      <c r="F46" s="77"/>
      <c r="G46" s="77"/>
      <c r="H46" s="77"/>
    </row>
    <row r="47" customFormat="false" ht="15" hidden="false" customHeight="true" outlineLevel="0" collapsed="false">
      <c r="A47" s="91"/>
      <c r="B47" s="90"/>
      <c r="C47" s="90"/>
      <c r="D47" s="90"/>
      <c r="E47" s="97"/>
      <c r="F47" s="77"/>
      <c r="G47" s="77"/>
      <c r="H47" s="77"/>
    </row>
    <row r="48" customFormat="false" ht="15" hidden="false" customHeight="true" outlineLevel="0" collapsed="false">
      <c r="A48" s="91"/>
      <c r="B48" s="90"/>
      <c r="C48" s="90"/>
      <c r="D48" s="90"/>
      <c r="E48" s="97"/>
      <c r="F48" s="77"/>
      <c r="G48" s="77"/>
      <c r="H48" s="77"/>
    </row>
    <row r="49" customFormat="false" ht="15" hidden="false" customHeight="true" outlineLevel="0" collapsed="false">
      <c r="A49" s="91"/>
      <c r="B49" s="90"/>
      <c r="C49" s="90"/>
      <c r="D49" s="90"/>
      <c r="E49" s="97"/>
      <c r="F49" s="77"/>
      <c r="G49" s="77"/>
      <c r="H49" s="77"/>
    </row>
    <row r="50" customFormat="false" ht="15" hidden="false" customHeight="true" outlineLevel="0" collapsed="false">
      <c r="A50" s="91"/>
      <c r="B50" s="90"/>
      <c r="C50" s="90"/>
      <c r="D50" s="90"/>
      <c r="E50" s="97"/>
      <c r="F50" s="77"/>
      <c r="G50" s="77"/>
      <c r="H50" s="77"/>
    </row>
    <row r="51" customFormat="false" ht="15" hidden="false" customHeight="true" outlineLevel="0" collapsed="false">
      <c r="A51" s="91"/>
      <c r="B51" s="90"/>
      <c r="C51" s="90"/>
      <c r="D51" s="90"/>
      <c r="E51" s="97"/>
      <c r="F51" s="77"/>
      <c r="G51" s="77"/>
      <c r="H51" s="77"/>
    </row>
    <row r="52" customFormat="false" ht="15" hidden="false" customHeight="true" outlineLevel="0" collapsed="false">
      <c r="A52" s="91"/>
      <c r="B52" s="90"/>
      <c r="C52" s="90"/>
      <c r="D52" s="90"/>
      <c r="E52" s="97"/>
      <c r="F52" s="77"/>
      <c r="G52" s="77"/>
      <c r="H52" s="77"/>
    </row>
    <row r="53" customFormat="false" ht="15" hidden="false" customHeight="true" outlineLevel="0" collapsed="false">
      <c r="A53" s="91"/>
      <c r="B53" s="90"/>
      <c r="C53" s="90"/>
      <c r="D53" s="90"/>
      <c r="E53" s="97"/>
      <c r="F53" s="77"/>
      <c r="G53" s="77"/>
      <c r="H53" s="77"/>
    </row>
    <row r="54" customFormat="false" ht="15" hidden="false" customHeight="true" outlineLevel="0" collapsed="false">
      <c r="A54" s="91"/>
      <c r="B54" s="90"/>
      <c r="C54" s="90"/>
      <c r="D54" s="90"/>
      <c r="E54" s="97"/>
      <c r="F54" s="77"/>
      <c r="G54" s="77"/>
      <c r="H54" s="77"/>
    </row>
    <row r="55" customFormat="false" ht="15" hidden="false" customHeight="true" outlineLevel="0" collapsed="false">
      <c r="A55" s="91"/>
      <c r="B55" s="90"/>
      <c r="C55" s="90"/>
      <c r="D55" s="90"/>
      <c r="E55" s="97"/>
      <c r="F55" s="77"/>
      <c r="G55" s="77"/>
      <c r="H55" s="77"/>
    </row>
    <row r="56" customFormat="false" ht="15" hidden="false" customHeight="true" outlineLevel="0" collapsed="false">
      <c r="A56" s="91"/>
      <c r="B56" s="90"/>
      <c r="C56" s="90"/>
      <c r="D56" s="90"/>
      <c r="E56" s="97"/>
      <c r="F56" s="77"/>
      <c r="G56" s="77"/>
      <c r="H56" s="77"/>
    </row>
    <row r="57" customFormat="false" ht="15" hidden="false" customHeight="true" outlineLevel="0" collapsed="false">
      <c r="A57" s="91"/>
      <c r="B57" s="90"/>
      <c r="C57" s="90"/>
      <c r="D57" s="90"/>
      <c r="E57" s="97"/>
      <c r="F57" s="77"/>
      <c r="G57" s="77"/>
      <c r="H57" s="77"/>
    </row>
    <row r="58" customFormat="false" ht="15" hidden="false" customHeight="true" outlineLevel="0" collapsed="false">
      <c r="A58" s="91"/>
      <c r="B58" s="90"/>
      <c r="C58" s="90"/>
      <c r="D58" s="90"/>
      <c r="E58" s="97"/>
      <c r="F58" s="77"/>
      <c r="G58" s="77"/>
      <c r="H58" s="77"/>
    </row>
    <row r="59" customFormat="false" ht="15" hidden="false" customHeight="true" outlineLevel="0" collapsed="false">
      <c r="A59" s="91"/>
      <c r="B59" s="90"/>
      <c r="C59" s="90"/>
      <c r="D59" s="90"/>
      <c r="E59" s="97"/>
      <c r="F59" s="77"/>
      <c r="G59" s="77"/>
      <c r="H59" s="77"/>
    </row>
    <row r="60" customFormat="false" ht="15.75" hidden="false" customHeight="true" outlineLevel="0" collapsed="false">
      <c r="A60" s="77"/>
      <c r="B60" s="77"/>
      <c r="C60" s="77"/>
      <c r="D60" s="77"/>
      <c r="E60" s="77"/>
      <c r="F60" s="77"/>
      <c r="G60" s="77"/>
      <c r="H60" s="77"/>
    </row>
    <row r="61" customFormat="false" ht="15.75" hidden="false" customHeight="true" outlineLevel="0" collapsed="false">
      <c r="A61" s="77"/>
      <c r="B61" s="77"/>
      <c r="C61" s="77"/>
      <c r="D61" s="77"/>
      <c r="E61" s="77"/>
      <c r="F61" s="77"/>
      <c r="G61" s="77"/>
      <c r="H61" s="77"/>
    </row>
    <row r="62" customFormat="false" ht="15.75" hidden="false" customHeight="true" outlineLevel="0" collapsed="false">
      <c r="A62" s="77"/>
      <c r="B62" s="77"/>
      <c r="C62" s="77"/>
      <c r="D62" s="77"/>
      <c r="E62" s="77"/>
      <c r="F62" s="77"/>
      <c r="G62" s="77"/>
      <c r="H62" s="77"/>
    </row>
    <row r="63" customFormat="false" ht="15.75" hidden="false" customHeight="true" outlineLevel="0" collapsed="false">
      <c r="A63" s="77"/>
      <c r="B63" s="77"/>
      <c r="C63" s="77"/>
      <c r="D63" s="77"/>
      <c r="E63" s="77"/>
      <c r="F63" s="77"/>
      <c r="G63" s="77"/>
      <c r="H63" s="77"/>
    </row>
    <row r="64" customFormat="false" ht="15.75" hidden="false" customHeight="true" outlineLevel="0" collapsed="false">
      <c r="A64" s="77"/>
      <c r="B64" s="77"/>
      <c r="C64" s="77"/>
      <c r="D64" s="77"/>
      <c r="E64" s="77"/>
      <c r="F64" s="77"/>
      <c r="G64" s="77"/>
      <c r="H64" s="77"/>
    </row>
    <row r="65" customFormat="false" ht="15.75" hidden="false" customHeight="true" outlineLevel="0" collapsed="false">
      <c r="A65" s="77"/>
      <c r="B65" s="77"/>
      <c r="C65" s="77"/>
      <c r="D65" s="77"/>
      <c r="E65" s="77"/>
      <c r="F65" s="77"/>
      <c r="G65" s="77"/>
      <c r="H65" s="77"/>
    </row>
    <row r="66" customFormat="false" ht="15.75" hidden="false" customHeight="true" outlineLevel="0" collapsed="false">
      <c r="A66" s="77"/>
      <c r="B66" s="77"/>
      <c r="C66" s="77"/>
      <c r="D66" s="77"/>
      <c r="E66" s="77"/>
      <c r="F66" s="77"/>
      <c r="G66" s="77"/>
      <c r="H66" s="77"/>
    </row>
    <row r="67" customFormat="false" ht="15.75" hidden="false" customHeight="true" outlineLevel="0" collapsed="false">
      <c r="A67" s="77"/>
      <c r="B67" s="77"/>
      <c r="C67" s="77"/>
      <c r="D67" s="77"/>
      <c r="E67" s="77"/>
      <c r="F67" s="77"/>
      <c r="G67" s="77"/>
      <c r="H67" s="77"/>
    </row>
    <row r="68" customFormat="false" ht="15.75" hidden="false" customHeight="true" outlineLevel="0" collapsed="false">
      <c r="A68" s="77"/>
      <c r="B68" s="77"/>
      <c r="C68" s="77"/>
      <c r="D68" s="77"/>
      <c r="E68" s="77"/>
      <c r="F68" s="77"/>
      <c r="G68" s="77"/>
      <c r="H68" s="77"/>
    </row>
    <row r="69" customFormat="false" ht="15.75" hidden="false" customHeight="true" outlineLevel="0" collapsed="false">
      <c r="A69" s="77"/>
      <c r="B69" s="77"/>
      <c r="C69" s="77"/>
      <c r="D69" s="77"/>
      <c r="E69" s="77"/>
      <c r="F69" s="77"/>
      <c r="G69" s="77"/>
      <c r="H69" s="77"/>
    </row>
    <row r="70" customFormat="false" ht="15.75" hidden="false" customHeight="true" outlineLevel="0" collapsed="false">
      <c r="A70" s="77"/>
      <c r="B70" s="77"/>
      <c r="C70" s="77"/>
      <c r="D70" s="77"/>
      <c r="E70" s="77"/>
      <c r="F70" s="77"/>
      <c r="G70" s="77"/>
      <c r="H70" s="77"/>
    </row>
    <row r="71" customFormat="false" ht="15.75" hidden="false" customHeight="true" outlineLevel="0" collapsed="false">
      <c r="A71" s="77"/>
      <c r="B71" s="77"/>
      <c r="C71" s="77"/>
      <c r="D71" s="77"/>
      <c r="E71" s="77"/>
      <c r="F71" s="77"/>
      <c r="G71" s="77"/>
      <c r="H71" s="77"/>
    </row>
    <row r="72" customFormat="false" ht="15.75" hidden="false" customHeight="true" outlineLevel="0" collapsed="false">
      <c r="A72" s="77"/>
      <c r="B72" s="77"/>
      <c r="C72" s="77"/>
      <c r="D72" s="77"/>
      <c r="E72" s="77"/>
      <c r="F72" s="77"/>
      <c r="G72" s="77"/>
      <c r="H72" s="77"/>
    </row>
    <row r="73" customFormat="false" ht="15.75" hidden="false" customHeight="true" outlineLevel="0" collapsed="false">
      <c r="A73" s="77"/>
      <c r="B73" s="77"/>
      <c r="C73" s="77"/>
      <c r="D73" s="77"/>
      <c r="E73" s="77"/>
      <c r="F73" s="77"/>
      <c r="G73" s="77"/>
      <c r="H73" s="77"/>
    </row>
    <row r="74" customFormat="false" ht="15.75" hidden="false" customHeight="true" outlineLevel="0" collapsed="false">
      <c r="A74" s="77"/>
      <c r="B74" s="77"/>
      <c r="C74" s="77"/>
      <c r="D74" s="77"/>
      <c r="E74" s="77"/>
      <c r="F74" s="77"/>
      <c r="G74" s="77"/>
      <c r="H74" s="77"/>
    </row>
    <row r="75" customFormat="false" ht="15.75" hidden="false" customHeight="true" outlineLevel="0" collapsed="false">
      <c r="A75" s="77"/>
      <c r="B75" s="77"/>
      <c r="C75" s="77"/>
      <c r="D75" s="77"/>
      <c r="E75" s="77"/>
      <c r="F75" s="77"/>
      <c r="G75" s="77"/>
      <c r="H75" s="77"/>
    </row>
    <row r="76" customFormat="false" ht="15.75" hidden="false" customHeight="true" outlineLevel="0" collapsed="false">
      <c r="A76" s="77"/>
      <c r="B76" s="77"/>
      <c r="C76" s="77"/>
      <c r="D76" s="77"/>
      <c r="E76" s="77"/>
      <c r="F76" s="77"/>
      <c r="G76" s="77"/>
      <c r="H76" s="77"/>
    </row>
    <row r="77" customFormat="false" ht="15.75" hidden="false" customHeight="true" outlineLevel="0" collapsed="false">
      <c r="A77" s="77"/>
      <c r="B77" s="77"/>
      <c r="C77" s="77"/>
      <c r="D77" s="77"/>
      <c r="E77" s="77"/>
      <c r="F77" s="77"/>
      <c r="G77" s="77"/>
      <c r="H77" s="77"/>
    </row>
    <row r="78" customFormat="false" ht="15.75" hidden="false" customHeight="true" outlineLevel="0" collapsed="false">
      <c r="A78" s="77"/>
      <c r="B78" s="77"/>
      <c r="C78" s="77"/>
      <c r="D78" s="77"/>
      <c r="E78" s="77"/>
      <c r="F78" s="77"/>
      <c r="G78" s="77"/>
      <c r="H78" s="77"/>
    </row>
    <row r="79" customFormat="false" ht="15.75" hidden="false" customHeight="true" outlineLevel="0" collapsed="false">
      <c r="A79" s="77"/>
      <c r="B79" s="77"/>
      <c r="C79" s="77"/>
      <c r="D79" s="77"/>
      <c r="E79" s="77"/>
      <c r="F79" s="77"/>
      <c r="G79" s="77"/>
      <c r="H79" s="77"/>
    </row>
    <row r="80" customFormat="false" ht="15.75" hidden="false" customHeight="true" outlineLevel="0" collapsed="false">
      <c r="A80" s="77"/>
      <c r="B80" s="77"/>
      <c r="C80" s="77"/>
      <c r="D80" s="77"/>
      <c r="E80" s="77"/>
      <c r="F80" s="77"/>
      <c r="G80" s="77"/>
      <c r="H80" s="77"/>
    </row>
    <row r="81" customFormat="false" ht="15.75" hidden="false" customHeight="true" outlineLevel="0" collapsed="false">
      <c r="A81" s="77"/>
      <c r="B81" s="77"/>
      <c r="C81" s="77"/>
      <c r="D81" s="77"/>
      <c r="E81" s="77"/>
      <c r="F81" s="77"/>
      <c r="G81" s="77"/>
      <c r="H81" s="77"/>
    </row>
    <row r="82" customFormat="false" ht="15.75" hidden="false" customHeight="true" outlineLevel="0" collapsed="false">
      <c r="A82" s="77"/>
      <c r="B82" s="77"/>
      <c r="C82" s="77"/>
      <c r="D82" s="77"/>
      <c r="E82" s="77"/>
      <c r="F82" s="77"/>
      <c r="G82" s="77"/>
      <c r="H82" s="77"/>
    </row>
    <row r="83" customFormat="false" ht="15.75" hidden="false" customHeight="true" outlineLevel="0" collapsed="false">
      <c r="A83" s="77"/>
      <c r="B83" s="77"/>
      <c r="C83" s="77"/>
      <c r="D83" s="77"/>
      <c r="E83" s="77"/>
      <c r="F83" s="77"/>
      <c r="G83" s="77"/>
      <c r="H83" s="77"/>
    </row>
    <row r="84" customFormat="false" ht="15.75" hidden="false" customHeight="true" outlineLevel="0" collapsed="false">
      <c r="A84" s="77"/>
      <c r="B84" s="77"/>
      <c r="C84" s="77"/>
      <c r="D84" s="77"/>
      <c r="E84" s="77"/>
      <c r="F84" s="77"/>
      <c r="G84" s="77"/>
      <c r="H84" s="77"/>
    </row>
    <row r="85" customFormat="false" ht="15.75" hidden="false" customHeight="true" outlineLevel="0" collapsed="false">
      <c r="A85" s="77"/>
      <c r="B85" s="77"/>
      <c r="C85" s="77"/>
      <c r="D85" s="77"/>
      <c r="E85" s="77"/>
      <c r="F85" s="77"/>
      <c r="G85" s="77"/>
      <c r="H85" s="77"/>
    </row>
    <row r="86" customFormat="false" ht="15.75" hidden="false" customHeight="true" outlineLevel="0" collapsed="false">
      <c r="A86" s="77"/>
      <c r="B86" s="77"/>
      <c r="C86" s="77"/>
      <c r="D86" s="77"/>
      <c r="E86" s="77"/>
      <c r="F86" s="77"/>
      <c r="G86" s="77"/>
      <c r="H86" s="77"/>
    </row>
    <row r="87" customFormat="false" ht="15.75" hidden="false" customHeight="true" outlineLevel="0" collapsed="false">
      <c r="A87" s="77"/>
      <c r="B87" s="77"/>
      <c r="C87" s="77"/>
      <c r="D87" s="77"/>
      <c r="E87" s="77"/>
      <c r="F87" s="77"/>
      <c r="G87" s="77"/>
      <c r="H87" s="77"/>
    </row>
    <row r="88" customFormat="false" ht="15.75" hidden="false" customHeight="true" outlineLevel="0" collapsed="false">
      <c r="A88" s="77"/>
      <c r="B88" s="77"/>
      <c r="C88" s="77"/>
      <c r="D88" s="77"/>
      <c r="E88" s="77"/>
      <c r="F88" s="77"/>
      <c r="G88" s="77"/>
      <c r="H88" s="77"/>
    </row>
    <row r="89" customFormat="false" ht="15.75" hidden="false" customHeight="true" outlineLevel="0" collapsed="false">
      <c r="A89" s="77"/>
      <c r="B89" s="77"/>
      <c r="C89" s="77"/>
      <c r="D89" s="77"/>
      <c r="E89" s="77"/>
      <c r="F89" s="77"/>
      <c r="G89" s="77"/>
      <c r="H89" s="77"/>
    </row>
    <row r="90" customFormat="false" ht="15.75" hidden="false" customHeight="true" outlineLevel="0" collapsed="false">
      <c r="A90" s="77"/>
      <c r="B90" s="77"/>
      <c r="C90" s="77"/>
      <c r="D90" s="77"/>
      <c r="E90" s="77"/>
      <c r="F90" s="77"/>
      <c r="G90" s="77"/>
      <c r="H90" s="77"/>
    </row>
    <row r="91" customFormat="false" ht="15.75" hidden="false" customHeight="true" outlineLevel="0" collapsed="false">
      <c r="A91" s="77"/>
      <c r="B91" s="77"/>
      <c r="C91" s="77"/>
      <c r="D91" s="77"/>
      <c r="E91" s="77"/>
      <c r="F91" s="77"/>
      <c r="G91" s="77"/>
      <c r="H91" s="77"/>
    </row>
    <row r="92" customFormat="false" ht="15.75" hidden="false" customHeight="true" outlineLevel="0" collapsed="false">
      <c r="A92" s="77"/>
      <c r="B92" s="77"/>
      <c r="C92" s="77"/>
      <c r="D92" s="77"/>
      <c r="E92" s="77"/>
      <c r="F92" s="77"/>
      <c r="G92" s="77"/>
      <c r="H92" s="77"/>
    </row>
    <row r="93" customFormat="false" ht="15.75" hidden="false" customHeight="true" outlineLevel="0" collapsed="false">
      <c r="A93" s="77"/>
      <c r="B93" s="77"/>
      <c r="C93" s="77"/>
      <c r="D93" s="77"/>
      <c r="E93" s="77"/>
      <c r="F93" s="77"/>
      <c r="G93" s="77"/>
      <c r="H93" s="77"/>
    </row>
    <row r="94" customFormat="false" ht="15.75" hidden="false" customHeight="true" outlineLevel="0" collapsed="false">
      <c r="A94" s="77"/>
      <c r="B94" s="77"/>
      <c r="C94" s="77"/>
      <c r="D94" s="77"/>
      <c r="E94" s="77"/>
      <c r="F94" s="77"/>
      <c r="G94" s="77"/>
      <c r="H94" s="77"/>
    </row>
    <row r="95" customFormat="false" ht="15.75" hidden="false" customHeight="true" outlineLevel="0" collapsed="false">
      <c r="A95" s="77"/>
      <c r="B95" s="77"/>
      <c r="C95" s="77"/>
      <c r="D95" s="77"/>
      <c r="E95" s="77"/>
      <c r="F95" s="77"/>
      <c r="G95" s="77"/>
      <c r="H95" s="77"/>
    </row>
    <row r="96" customFormat="false" ht="15.75" hidden="false" customHeight="true" outlineLevel="0" collapsed="false">
      <c r="A96" s="77"/>
      <c r="B96" s="77"/>
      <c r="C96" s="77"/>
      <c r="D96" s="77"/>
      <c r="E96" s="77"/>
      <c r="F96" s="77"/>
      <c r="G96" s="77"/>
      <c r="H96" s="77"/>
    </row>
    <row r="97" customFormat="false" ht="15.75" hidden="false" customHeight="true" outlineLevel="0" collapsed="false">
      <c r="A97" s="77"/>
      <c r="B97" s="77"/>
      <c r="C97" s="77"/>
      <c r="D97" s="77"/>
      <c r="E97" s="77"/>
      <c r="F97" s="77"/>
      <c r="G97" s="77"/>
      <c r="H97" s="77"/>
    </row>
    <row r="98" customFormat="false" ht="15.75" hidden="false" customHeight="true" outlineLevel="0" collapsed="false">
      <c r="A98" s="77"/>
      <c r="B98" s="77"/>
      <c r="C98" s="77"/>
      <c r="D98" s="77"/>
      <c r="E98" s="77"/>
      <c r="F98" s="77"/>
      <c r="G98" s="77"/>
      <c r="H98" s="77"/>
    </row>
    <row r="99" customFormat="false" ht="15.75" hidden="false" customHeight="true" outlineLevel="0" collapsed="false">
      <c r="A99" s="77"/>
      <c r="B99" s="77"/>
      <c r="C99" s="77"/>
      <c r="D99" s="77"/>
      <c r="E99" s="77"/>
      <c r="F99" s="77"/>
      <c r="G99" s="77"/>
      <c r="H99" s="77"/>
    </row>
    <row r="100" customFormat="false" ht="15.75" hidden="false" customHeight="true" outlineLevel="0" collapsed="false">
      <c r="A100" s="77"/>
      <c r="B100" s="77"/>
      <c r="C100" s="77"/>
      <c r="D100" s="77"/>
      <c r="E100" s="77"/>
      <c r="F100" s="77"/>
      <c r="G100" s="77"/>
      <c r="H100" s="77"/>
    </row>
    <row r="101" customFormat="false" ht="15.75" hidden="false" customHeight="true" outlineLevel="0" collapsed="false">
      <c r="A101" s="77"/>
      <c r="B101" s="77"/>
      <c r="C101" s="77"/>
      <c r="D101" s="77"/>
      <c r="E101" s="77"/>
      <c r="F101" s="77"/>
      <c r="G101" s="77"/>
      <c r="H101" s="77"/>
    </row>
    <row r="102" customFormat="false" ht="15.75" hidden="false" customHeight="true" outlineLevel="0" collapsed="false">
      <c r="A102" s="77"/>
      <c r="B102" s="77"/>
      <c r="C102" s="77"/>
      <c r="D102" s="77"/>
      <c r="E102" s="77"/>
      <c r="F102" s="77"/>
      <c r="G102" s="77"/>
      <c r="H102" s="77"/>
    </row>
    <row r="103" customFormat="false" ht="15.75" hidden="false" customHeight="true" outlineLevel="0" collapsed="false">
      <c r="A103" s="77"/>
      <c r="B103" s="77"/>
      <c r="C103" s="77"/>
      <c r="D103" s="77"/>
      <c r="E103" s="77"/>
      <c r="F103" s="77"/>
      <c r="G103" s="77"/>
      <c r="H103" s="77"/>
    </row>
    <row r="104" customFormat="false" ht="15.75" hidden="false" customHeight="true" outlineLevel="0" collapsed="false">
      <c r="A104" s="77"/>
      <c r="B104" s="77"/>
      <c r="C104" s="77"/>
      <c r="D104" s="77"/>
      <c r="E104" s="77"/>
      <c r="F104" s="77"/>
      <c r="G104" s="77"/>
      <c r="H104" s="77"/>
    </row>
    <row r="105" customFormat="false" ht="15.75" hidden="false" customHeight="true" outlineLevel="0" collapsed="false">
      <c r="A105" s="77"/>
      <c r="B105" s="77"/>
      <c r="C105" s="77"/>
      <c r="D105" s="77"/>
      <c r="E105" s="77"/>
      <c r="F105" s="77"/>
      <c r="G105" s="77"/>
      <c r="H105" s="77"/>
    </row>
    <row r="106" customFormat="false" ht="15.75" hidden="false" customHeight="true" outlineLevel="0" collapsed="false">
      <c r="A106" s="77"/>
      <c r="B106" s="77"/>
      <c r="C106" s="77"/>
      <c r="D106" s="77"/>
      <c r="E106" s="77"/>
      <c r="F106" s="77"/>
      <c r="G106" s="77"/>
      <c r="H106" s="77"/>
    </row>
    <row r="107" customFormat="false" ht="15.75" hidden="false" customHeight="true" outlineLevel="0" collapsed="false">
      <c r="A107" s="77"/>
      <c r="B107" s="77"/>
      <c r="C107" s="77"/>
      <c r="D107" s="77"/>
      <c r="E107" s="77"/>
      <c r="F107" s="77"/>
      <c r="G107" s="77"/>
      <c r="H107" s="77"/>
    </row>
    <row r="108" customFormat="false" ht="15.75" hidden="false" customHeight="true" outlineLevel="0" collapsed="false">
      <c r="A108" s="77"/>
      <c r="B108" s="77"/>
      <c r="C108" s="77"/>
      <c r="D108" s="77"/>
      <c r="E108" s="77"/>
      <c r="F108" s="77"/>
      <c r="G108" s="77"/>
      <c r="H108" s="77"/>
    </row>
    <row r="109" customFormat="false" ht="15.75" hidden="false" customHeight="true" outlineLevel="0" collapsed="false">
      <c r="A109" s="77"/>
      <c r="B109" s="77"/>
      <c r="C109" s="77"/>
      <c r="D109" s="77"/>
      <c r="E109" s="77"/>
      <c r="F109" s="77"/>
      <c r="G109" s="77"/>
      <c r="H109" s="77"/>
    </row>
    <row r="110" customFormat="false" ht="15.75" hidden="false" customHeight="true" outlineLevel="0" collapsed="false">
      <c r="A110" s="77"/>
      <c r="B110" s="77"/>
      <c r="C110" s="77"/>
      <c r="D110" s="77"/>
      <c r="E110" s="77"/>
      <c r="F110" s="77"/>
      <c r="G110" s="77"/>
      <c r="H110" s="77"/>
    </row>
    <row r="111" customFormat="false" ht="15.75" hidden="false" customHeight="true" outlineLevel="0" collapsed="false">
      <c r="A111" s="77"/>
      <c r="B111" s="77"/>
      <c r="C111" s="77"/>
      <c r="D111" s="77"/>
      <c r="E111" s="77"/>
      <c r="F111" s="77"/>
      <c r="G111" s="77"/>
      <c r="H111" s="77"/>
    </row>
    <row r="112" customFormat="false" ht="15.75" hidden="false" customHeight="true" outlineLevel="0" collapsed="false">
      <c r="A112" s="77"/>
      <c r="B112" s="77"/>
      <c r="C112" s="77"/>
      <c r="D112" s="77"/>
      <c r="E112" s="77"/>
      <c r="F112" s="77"/>
      <c r="G112" s="77"/>
      <c r="H112" s="77"/>
    </row>
    <row r="113" customFormat="false" ht="15.75" hidden="false" customHeight="true" outlineLevel="0" collapsed="false">
      <c r="A113" s="77"/>
      <c r="B113" s="77"/>
      <c r="C113" s="77"/>
      <c r="D113" s="77"/>
      <c r="E113" s="77"/>
      <c r="F113" s="77"/>
      <c r="G113" s="77"/>
      <c r="H113" s="77"/>
    </row>
    <row r="114" customFormat="false" ht="15.75" hidden="false" customHeight="true" outlineLevel="0" collapsed="false">
      <c r="A114" s="77"/>
      <c r="B114" s="77"/>
      <c r="C114" s="77"/>
      <c r="D114" s="77"/>
      <c r="E114" s="77"/>
      <c r="F114" s="77"/>
      <c r="G114" s="77"/>
      <c r="H114" s="77"/>
    </row>
    <row r="115" customFormat="false" ht="15.75" hidden="false" customHeight="true" outlineLevel="0" collapsed="false">
      <c r="A115" s="77"/>
      <c r="B115" s="77"/>
      <c r="C115" s="77"/>
      <c r="D115" s="77"/>
      <c r="E115" s="77"/>
      <c r="F115" s="77"/>
      <c r="G115" s="77"/>
      <c r="H115" s="77"/>
    </row>
    <row r="116" customFormat="false" ht="15.75" hidden="false" customHeight="true" outlineLevel="0" collapsed="false">
      <c r="A116" s="77"/>
      <c r="B116" s="77"/>
      <c r="C116" s="77"/>
      <c r="D116" s="77"/>
      <c r="E116" s="77"/>
      <c r="F116" s="77"/>
      <c r="G116" s="77"/>
      <c r="H116" s="77"/>
    </row>
    <row r="117" customFormat="false" ht="15.75" hidden="false" customHeight="true" outlineLevel="0" collapsed="false">
      <c r="A117" s="77"/>
      <c r="B117" s="77"/>
      <c r="C117" s="77"/>
      <c r="D117" s="77"/>
      <c r="E117" s="77"/>
      <c r="F117" s="77"/>
      <c r="G117" s="77"/>
      <c r="H117" s="77"/>
    </row>
    <row r="118" customFormat="false" ht="15.75" hidden="false" customHeight="true" outlineLevel="0" collapsed="false">
      <c r="A118" s="77"/>
      <c r="B118" s="77"/>
      <c r="C118" s="77"/>
      <c r="D118" s="77"/>
      <c r="E118" s="77"/>
      <c r="F118" s="77"/>
      <c r="G118" s="77"/>
      <c r="H118" s="77"/>
    </row>
    <row r="119" customFormat="false" ht="15.75" hidden="false" customHeight="true" outlineLevel="0" collapsed="false">
      <c r="A119" s="77"/>
      <c r="B119" s="77"/>
      <c r="C119" s="77"/>
      <c r="D119" s="77"/>
      <c r="E119" s="77"/>
      <c r="F119" s="77"/>
      <c r="G119" s="77"/>
      <c r="H119" s="77"/>
    </row>
    <row r="120" customFormat="false" ht="15.75" hidden="false" customHeight="true" outlineLevel="0" collapsed="false">
      <c r="A120" s="77"/>
      <c r="B120" s="77"/>
      <c r="C120" s="77"/>
      <c r="D120" s="77"/>
      <c r="E120" s="77"/>
      <c r="F120" s="77"/>
      <c r="G120" s="77"/>
      <c r="H120" s="77"/>
    </row>
    <row r="121" customFormat="false" ht="15.75" hidden="false" customHeight="true" outlineLevel="0" collapsed="false">
      <c r="A121" s="77"/>
      <c r="B121" s="77"/>
      <c r="C121" s="77"/>
      <c r="D121" s="77"/>
      <c r="E121" s="77"/>
      <c r="F121" s="77"/>
      <c r="G121" s="77"/>
      <c r="H121" s="77"/>
    </row>
    <row r="122" customFormat="false" ht="15.75" hidden="false" customHeight="true" outlineLevel="0" collapsed="false">
      <c r="A122" s="77"/>
      <c r="B122" s="77"/>
      <c r="C122" s="77"/>
      <c r="D122" s="77"/>
      <c r="E122" s="77"/>
      <c r="F122" s="77"/>
      <c r="G122" s="77"/>
      <c r="H122" s="77"/>
    </row>
    <row r="123" customFormat="false" ht="15.75" hidden="false" customHeight="true" outlineLevel="0" collapsed="false">
      <c r="A123" s="77"/>
      <c r="B123" s="77"/>
      <c r="C123" s="77"/>
      <c r="D123" s="77"/>
      <c r="E123" s="77"/>
      <c r="F123" s="77"/>
      <c r="G123" s="77"/>
      <c r="H123" s="77"/>
    </row>
    <row r="124" customFormat="false" ht="15.75" hidden="false" customHeight="true" outlineLevel="0" collapsed="false">
      <c r="A124" s="77"/>
      <c r="B124" s="77"/>
      <c r="C124" s="77"/>
      <c r="D124" s="77"/>
      <c r="E124" s="77"/>
      <c r="F124" s="77"/>
      <c r="G124" s="77"/>
      <c r="H124" s="77"/>
    </row>
    <row r="125" customFormat="false" ht="15.75" hidden="false" customHeight="true" outlineLevel="0" collapsed="false">
      <c r="A125" s="77"/>
      <c r="B125" s="77"/>
      <c r="C125" s="77"/>
      <c r="D125" s="77"/>
      <c r="E125" s="77"/>
      <c r="F125" s="77"/>
      <c r="G125" s="77"/>
      <c r="H125" s="77"/>
    </row>
    <row r="126" customFormat="false" ht="15.75" hidden="false" customHeight="true" outlineLevel="0" collapsed="false">
      <c r="A126" s="77"/>
      <c r="B126" s="77"/>
      <c r="C126" s="77"/>
      <c r="D126" s="77"/>
      <c r="E126" s="77"/>
      <c r="F126" s="77"/>
      <c r="G126" s="77"/>
      <c r="H126" s="77"/>
    </row>
    <row r="127" customFormat="false" ht="15.75" hidden="false" customHeight="true" outlineLevel="0" collapsed="false">
      <c r="A127" s="77"/>
      <c r="B127" s="77"/>
      <c r="C127" s="77"/>
      <c r="D127" s="77"/>
      <c r="E127" s="77"/>
      <c r="F127" s="77"/>
      <c r="G127" s="77"/>
      <c r="H127" s="77"/>
    </row>
    <row r="128" customFormat="false" ht="15.75" hidden="false" customHeight="true" outlineLevel="0" collapsed="false">
      <c r="A128" s="77"/>
      <c r="B128" s="77"/>
      <c r="C128" s="77"/>
      <c r="D128" s="77"/>
      <c r="E128" s="77"/>
      <c r="F128" s="77"/>
      <c r="G128" s="77"/>
      <c r="H128" s="77"/>
    </row>
    <row r="129" customFormat="false" ht="15.75" hidden="false" customHeight="true" outlineLevel="0" collapsed="false">
      <c r="A129" s="77"/>
      <c r="B129" s="77"/>
      <c r="C129" s="77"/>
      <c r="D129" s="77"/>
      <c r="E129" s="77"/>
      <c r="F129" s="77"/>
      <c r="G129" s="77"/>
      <c r="H129" s="77"/>
    </row>
    <row r="130" customFormat="false" ht="15.75" hidden="false" customHeight="true" outlineLevel="0" collapsed="false">
      <c r="A130" s="77"/>
      <c r="B130" s="77"/>
      <c r="C130" s="77"/>
      <c r="D130" s="77"/>
      <c r="E130" s="77"/>
      <c r="F130" s="77"/>
      <c r="G130" s="77"/>
      <c r="H130" s="77"/>
    </row>
    <row r="131" customFormat="false" ht="15.75" hidden="false" customHeight="true" outlineLevel="0" collapsed="false">
      <c r="A131" s="77"/>
      <c r="B131" s="77"/>
      <c r="C131" s="77"/>
      <c r="D131" s="77"/>
      <c r="E131" s="77"/>
      <c r="F131" s="77"/>
      <c r="G131" s="77"/>
      <c r="H131" s="77"/>
    </row>
    <row r="132" customFormat="false" ht="15.75" hidden="false" customHeight="true" outlineLevel="0" collapsed="false">
      <c r="A132" s="77"/>
      <c r="B132" s="77"/>
      <c r="C132" s="77"/>
      <c r="D132" s="77"/>
      <c r="E132" s="77"/>
      <c r="F132" s="77"/>
      <c r="G132" s="77"/>
      <c r="H132" s="77"/>
    </row>
    <row r="133" customFormat="false" ht="15.75" hidden="false" customHeight="true" outlineLevel="0" collapsed="false">
      <c r="A133" s="77"/>
      <c r="B133" s="77"/>
      <c r="C133" s="77"/>
      <c r="D133" s="77"/>
      <c r="E133" s="77"/>
      <c r="F133" s="77"/>
      <c r="G133" s="77"/>
      <c r="H133" s="77"/>
    </row>
    <row r="134" customFormat="false" ht="15.75" hidden="false" customHeight="true" outlineLevel="0" collapsed="false">
      <c r="A134" s="77"/>
      <c r="B134" s="77"/>
      <c r="C134" s="77"/>
      <c r="D134" s="77"/>
      <c r="E134" s="77"/>
      <c r="F134" s="77"/>
      <c r="G134" s="77"/>
      <c r="H134" s="77"/>
    </row>
    <row r="135" customFormat="false" ht="15.75" hidden="false" customHeight="true" outlineLevel="0" collapsed="false">
      <c r="A135" s="77"/>
      <c r="B135" s="77"/>
      <c r="C135" s="77"/>
      <c r="D135" s="77"/>
      <c r="E135" s="77"/>
      <c r="F135" s="77"/>
      <c r="G135" s="77"/>
      <c r="H135" s="77"/>
    </row>
    <row r="136" customFormat="false" ht="15.75" hidden="false" customHeight="true" outlineLevel="0" collapsed="false">
      <c r="A136" s="77"/>
      <c r="B136" s="77"/>
      <c r="C136" s="77"/>
      <c r="D136" s="77"/>
      <c r="E136" s="77"/>
      <c r="F136" s="77"/>
      <c r="G136" s="77"/>
      <c r="H136" s="77"/>
    </row>
    <row r="137" customFormat="false" ht="15.75" hidden="false" customHeight="true" outlineLevel="0" collapsed="false">
      <c r="A137" s="77"/>
      <c r="B137" s="77"/>
      <c r="C137" s="77"/>
      <c r="D137" s="77"/>
      <c r="E137" s="77"/>
      <c r="F137" s="77"/>
      <c r="G137" s="77"/>
      <c r="H137" s="77"/>
    </row>
    <row r="138" customFormat="false" ht="15.75" hidden="false" customHeight="true" outlineLevel="0" collapsed="false">
      <c r="A138" s="77"/>
      <c r="B138" s="77"/>
      <c r="C138" s="77"/>
      <c r="D138" s="77"/>
      <c r="E138" s="77"/>
      <c r="F138" s="77"/>
      <c r="G138" s="77"/>
      <c r="H138" s="77"/>
    </row>
    <row r="139" customFormat="false" ht="15.75" hidden="false" customHeight="true" outlineLevel="0" collapsed="false">
      <c r="A139" s="77"/>
      <c r="B139" s="77"/>
      <c r="C139" s="77"/>
      <c r="D139" s="77"/>
      <c r="E139" s="77"/>
      <c r="F139" s="77"/>
      <c r="G139" s="77"/>
      <c r="H139" s="77"/>
    </row>
    <row r="140" customFormat="false" ht="15.75" hidden="false" customHeight="true" outlineLevel="0" collapsed="false">
      <c r="A140" s="77"/>
      <c r="B140" s="77"/>
      <c r="C140" s="77"/>
      <c r="D140" s="77"/>
      <c r="E140" s="77"/>
      <c r="F140" s="77"/>
      <c r="G140" s="77"/>
      <c r="H140" s="77"/>
    </row>
    <row r="141" customFormat="false" ht="15.75" hidden="false" customHeight="true" outlineLevel="0" collapsed="false">
      <c r="A141" s="77"/>
      <c r="B141" s="77"/>
      <c r="C141" s="77"/>
      <c r="D141" s="77"/>
      <c r="E141" s="77"/>
      <c r="F141" s="77"/>
      <c r="G141" s="77"/>
      <c r="H141" s="77"/>
    </row>
    <row r="142" customFormat="false" ht="15.75" hidden="false" customHeight="true" outlineLevel="0" collapsed="false">
      <c r="A142" s="77"/>
      <c r="B142" s="77"/>
      <c r="C142" s="77"/>
      <c r="D142" s="77"/>
      <c r="E142" s="77"/>
      <c r="F142" s="77"/>
      <c r="G142" s="77"/>
      <c r="H142" s="77"/>
    </row>
    <row r="143" customFormat="false" ht="15.75" hidden="false" customHeight="true" outlineLevel="0" collapsed="false">
      <c r="A143" s="77"/>
      <c r="B143" s="77"/>
      <c r="C143" s="77"/>
      <c r="D143" s="77"/>
      <c r="E143" s="77"/>
      <c r="F143" s="77"/>
      <c r="G143" s="77"/>
      <c r="H143" s="77"/>
    </row>
    <row r="144" customFormat="false" ht="15.75" hidden="false" customHeight="true" outlineLevel="0" collapsed="false">
      <c r="A144" s="77"/>
      <c r="B144" s="77"/>
      <c r="C144" s="77"/>
      <c r="D144" s="77"/>
      <c r="E144" s="77"/>
      <c r="F144" s="77"/>
      <c r="G144" s="77"/>
      <c r="H144" s="77"/>
    </row>
    <row r="145" customFormat="false" ht="15.75" hidden="false" customHeight="true" outlineLevel="0" collapsed="false">
      <c r="A145" s="77"/>
      <c r="B145" s="77"/>
      <c r="C145" s="77"/>
      <c r="D145" s="77"/>
      <c r="E145" s="77"/>
      <c r="F145" s="77"/>
      <c r="G145" s="77"/>
      <c r="H145" s="77"/>
    </row>
    <row r="146" customFormat="false" ht="15.75" hidden="false" customHeight="true" outlineLevel="0" collapsed="false">
      <c r="A146" s="77"/>
      <c r="B146" s="77"/>
      <c r="C146" s="77"/>
      <c r="D146" s="77"/>
      <c r="E146" s="77"/>
      <c r="F146" s="77"/>
      <c r="G146" s="77"/>
      <c r="H146" s="77"/>
    </row>
    <row r="147" customFormat="false" ht="15.75" hidden="false" customHeight="true" outlineLevel="0" collapsed="false">
      <c r="A147" s="77"/>
      <c r="B147" s="77"/>
      <c r="C147" s="77"/>
      <c r="D147" s="77"/>
      <c r="E147" s="77"/>
      <c r="F147" s="77"/>
      <c r="G147" s="77"/>
      <c r="H147" s="77"/>
    </row>
    <row r="148" customFormat="false" ht="15.75" hidden="false" customHeight="true" outlineLevel="0" collapsed="false">
      <c r="A148" s="77"/>
      <c r="B148" s="77"/>
      <c r="C148" s="77"/>
      <c r="D148" s="77"/>
      <c r="E148" s="77"/>
      <c r="F148" s="77"/>
      <c r="G148" s="77"/>
      <c r="H148" s="77"/>
    </row>
    <row r="149" customFormat="false" ht="15.75" hidden="false" customHeight="true" outlineLevel="0" collapsed="false">
      <c r="A149" s="77"/>
      <c r="B149" s="77"/>
      <c r="C149" s="77"/>
      <c r="D149" s="77"/>
      <c r="E149" s="77"/>
      <c r="F149" s="77"/>
      <c r="G149" s="77"/>
      <c r="H149" s="77"/>
    </row>
    <row r="150" customFormat="false" ht="15.75" hidden="false" customHeight="true" outlineLevel="0" collapsed="false">
      <c r="A150" s="77"/>
      <c r="B150" s="77"/>
      <c r="C150" s="77"/>
      <c r="D150" s="77"/>
      <c r="E150" s="77"/>
      <c r="F150" s="77"/>
      <c r="G150" s="77"/>
      <c r="H150" s="77"/>
    </row>
    <row r="151" customFormat="false" ht="15.75" hidden="false" customHeight="true" outlineLevel="0" collapsed="false">
      <c r="A151" s="77"/>
      <c r="B151" s="77"/>
      <c r="C151" s="77"/>
      <c r="D151" s="77"/>
      <c r="E151" s="77"/>
      <c r="F151" s="77"/>
      <c r="G151" s="77"/>
      <c r="H151" s="77"/>
    </row>
    <row r="152" customFormat="false" ht="15.75" hidden="false" customHeight="true" outlineLevel="0" collapsed="false">
      <c r="A152" s="77"/>
      <c r="B152" s="77"/>
      <c r="C152" s="77"/>
      <c r="D152" s="77"/>
      <c r="E152" s="77"/>
      <c r="F152" s="77"/>
      <c r="G152" s="77"/>
      <c r="H152" s="77"/>
    </row>
    <row r="153" customFormat="false" ht="15.75" hidden="false" customHeight="true" outlineLevel="0" collapsed="false">
      <c r="A153" s="77"/>
      <c r="B153" s="77"/>
      <c r="C153" s="77"/>
      <c r="D153" s="77"/>
      <c r="E153" s="77"/>
      <c r="F153" s="77"/>
      <c r="G153" s="77"/>
      <c r="H153" s="77"/>
    </row>
    <row r="154" customFormat="false" ht="15.75" hidden="false" customHeight="true" outlineLevel="0" collapsed="false">
      <c r="A154" s="77"/>
      <c r="B154" s="77"/>
      <c r="C154" s="77"/>
      <c r="D154" s="77"/>
      <c r="E154" s="77"/>
      <c r="F154" s="77"/>
      <c r="G154" s="77"/>
      <c r="H154" s="77"/>
    </row>
    <row r="155" customFormat="false" ht="15.75" hidden="false" customHeight="true" outlineLevel="0" collapsed="false">
      <c r="A155" s="77"/>
      <c r="B155" s="77"/>
      <c r="C155" s="77"/>
      <c r="D155" s="77"/>
      <c r="E155" s="77"/>
      <c r="F155" s="77"/>
      <c r="G155" s="77"/>
      <c r="H155" s="77"/>
    </row>
    <row r="156" customFormat="false" ht="15.75" hidden="false" customHeight="true" outlineLevel="0" collapsed="false">
      <c r="A156" s="77"/>
      <c r="B156" s="77"/>
      <c r="C156" s="77"/>
      <c r="D156" s="77"/>
      <c r="E156" s="77"/>
      <c r="F156" s="77"/>
      <c r="G156" s="77"/>
      <c r="H156" s="77"/>
    </row>
    <row r="157" customFormat="false" ht="15.75" hidden="false" customHeight="true" outlineLevel="0" collapsed="false">
      <c r="A157" s="77"/>
      <c r="B157" s="77"/>
      <c r="C157" s="77"/>
      <c r="D157" s="77"/>
      <c r="E157" s="77"/>
      <c r="F157" s="77"/>
      <c r="G157" s="77"/>
      <c r="H157" s="77"/>
    </row>
    <row r="158" customFormat="false" ht="15.75" hidden="false" customHeight="true" outlineLevel="0" collapsed="false">
      <c r="A158" s="77"/>
      <c r="B158" s="77"/>
      <c r="C158" s="77"/>
      <c r="D158" s="77"/>
      <c r="E158" s="77"/>
      <c r="F158" s="77"/>
      <c r="G158" s="77"/>
      <c r="H158" s="77"/>
    </row>
    <row r="159" customFormat="false" ht="15.75" hidden="false" customHeight="true" outlineLevel="0" collapsed="false">
      <c r="A159" s="77"/>
      <c r="B159" s="77"/>
      <c r="C159" s="77"/>
      <c r="D159" s="77"/>
      <c r="E159" s="77"/>
      <c r="F159" s="77"/>
      <c r="G159" s="77"/>
      <c r="H159" s="77"/>
    </row>
    <row r="160" customFormat="false" ht="15.75" hidden="false" customHeight="true" outlineLevel="0" collapsed="false">
      <c r="A160" s="77"/>
      <c r="B160" s="77"/>
      <c r="C160" s="77"/>
      <c r="D160" s="77"/>
      <c r="E160" s="77"/>
      <c r="F160" s="77"/>
      <c r="G160" s="77"/>
      <c r="H160" s="77"/>
    </row>
    <row r="161" customFormat="false" ht="15.75" hidden="false" customHeight="true" outlineLevel="0" collapsed="false">
      <c r="A161" s="77"/>
      <c r="B161" s="77"/>
      <c r="C161" s="77"/>
      <c r="D161" s="77"/>
      <c r="E161" s="77"/>
      <c r="F161" s="77"/>
      <c r="G161" s="77"/>
      <c r="H161" s="77"/>
    </row>
    <row r="162" customFormat="false" ht="15.75" hidden="false" customHeight="true" outlineLevel="0" collapsed="false">
      <c r="A162" s="77"/>
      <c r="B162" s="77"/>
      <c r="C162" s="77"/>
      <c r="D162" s="77"/>
      <c r="E162" s="77"/>
      <c r="F162" s="77"/>
      <c r="G162" s="77"/>
      <c r="H162" s="77"/>
    </row>
    <row r="163" customFormat="false" ht="15.75" hidden="false" customHeight="true" outlineLevel="0" collapsed="false">
      <c r="A163" s="77"/>
      <c r="B163" s="77"/>
      <c r="C163" s="77"/>
      <c r="D163" s="77"/>
      <c r="E163" s="77"/>
      <c r="F163" s="77"/>
      <c r="G163" s="77"/>
      <c r="H163" s="77"/>
    </row>
    <row r="164" customFormat="false" ht="15.75" hidden="false" customHeight="true" outlineLevel="0" collapsed="false">
      <c r="A164" s="77"/>
      <c r="B164" s="77"/>
      <c r="C164" s="77"/>
      <c r="D164" s="77"/>
      <c r="E164" s="77"/>
      <c r="F164" s="77"/>
      <c r="G164" s="77"/>
      <c r="H164" s="77"/>
    </row>
    <row r="165" customFormat="false" ht="15.75" hidden="false" customHeight="true" outlineLevel="0" collapsed="false">
      <c r="A165" s="77"/>
      <c r="B165" s="77"/>
      <c r="C165" s="77"/>
      <c r="D165" s="77"/>
      <c r="E165" s="77"/>
      <c r="F165" s="77"/>
      <c r="G165" s="77"/>
      <c r="H165" s="77"/>
    </row>
    <row r="166" customFormat="false" ht="15.75" hidden="false" customHeight="true" outlineLevel="0" collapsed="false">
      <c r="A166" s="77"/>
      <c r="B166" s="77"/>
      <c r="C166" s="77"/>
      <c r="D166" s="77"/>
      <c r="E166" s="77"/>
      <c r="F166" s="77"/>
      <c r="G166" s="77"/>
      <c r="H166" s="77"/>
    </row>
    <row r="167" customFormat="false" ht="15.75" hidden="false" customHeight="true" outlineLevel="0" collapsed="false">
      <c r="A167" s="77"/>
      <c r="B167" s="77"/>
      <c r="C167" s="77"/>
      <c r="D167" s="77"/>
      <c r="E167" s="77"/>
      <c r="F167" s="77"/>
      <c r="G167" s="77"/>
      <c r="H167" s="77"/>
    </row>
    <row r="168" customFormat="false" ht="15.75" hidden="false" customHeight="true" outlineLevel="0" collapsed="false">
      <c r="A168" s="77"/>
      <c r="B168" s="77"/>
      <c r="C168" s="77"/>
      <c r="D168" s="77"/>
      <c r="E168" s="77"/>
      <c r="F168" s="77"/>
      <c r="G168" s="77"/>
      <c r="H168" s="77"/>
    </row>
    <row r="169" customFormat="false" ht="15.75" hidden="false" customHeight="true" outlineLevel="0" collapsed="false">
      <c r="A169" s="77"/>
      <c r="B169" s="77"/>
      <c r="C169" s="77"/>
      <c r="D169" s="77"/>
      <c r="E169" s="77"/>
      <c r="F169" s="77"/>
      <c r="G169" s="77"/>
      <c r="H169" s="77"/>
    </row>
    <row r="170" customFormat="false" ht="15.75" hidden="false" customHeight="true" outlineLevel="0" collapsed="false">
      <c r="A170" s="77"/>
      <c r="B170" s="77"/>
      <c r="C170" s="77"/>
      <c r="D170" s="77"/>
      <c r="E170" s="77"/>
      <c r="F170" s="77"/>
      <c r="G170" s="77"/>
      <c r="H170" s="77"/>
    </row>
    <row r="171" customFormat="false" ht="15.75" hidden="false" customHeight="true" outlineLevel="0" collapsed="false">
      <c r="A171" s="77"/>
      <c r="B171" s="77"/>
      <c r="C171" s="77"/>
      <c r="D171" s="77"/>
      <c r="E171" s="77"/>
      <c r="F171" s="77"/>
      <c r="G171" s="77"/>
      <c r="H171" s="77"/>
    </row>
    <row r="172" customFormat="false" ht="15.75" hidden="false" customHeight="true" outlineLevel="0" collapsed="false">
      <c r="A172" s="77"/>
      <c r="B172" s="77"/>
      <c r="C172" s="77"/>
      <c r="D172" s="77"/>
      <c r="E172" s="77"/>
      <c r="F172" s="77"/>
      <c r="G172" s="77"/>
      <c r="H172" s="77"/>
    </row>
    <row r="173" customFormat="false" ht="15.75" hidden="false" customHeight="true" outlineLevel="0" collapsed="false">
      <c r="A173" s="77"/>
      <c r="B173" s="77"/>
      <c r="C173" s="77"/>
      <c r="D173" s="77"/>
      <c r="E173" s="77"/>
      <c r="F173" s="77"/>
      <c r="G173" s="77"/>
      <c r="H173" s="77"/>
    </row>
    <row r="174" customFormat="false" ht="15.75" hidden="false" customHeight="true" outlineLevel="0" collapsed="false">
      <c r="A174" s="77"/>
      <c r="B174" s="77"/>
      <c r="C174" s="77"/>
      <c r="D174" s="77"/>
      <c r="E174" s="77"/>
      <c r="F174" s="77"/>
      <c r="G174" s="77"/>
      <c r="H174" s="77"/>
    </row>
    <row r="175" customFormat="false" ht="15.75" hidden="false" customHeight="true" outlineLevel="0" collapsed="false">
      <c r="A175" s="77"/>
      <c r="B175" s="77"/>
      <c r="C175" s="77"/>
      <c r="D175" s="77"/>
      <c r="E175" s="77"/>
      <c r="F175" s="77"/>
      <c r="G175" s="77"/>
      <c r="H175" s="77"/>
    </row>
    <row r="176" customFormat="false" ht="15.75" hidden="false" customHeight="true" outlineLevel="0" collapsed="false">
      <c r="A176" s="77"/>
      <c r="B176" s="77"/>
      <c r="C176" s="77"/>
      <c r="D176" s="77"/>
      <c r="E176" s="77"/>
      <c r="F176" s="77"/>
      <c r="G176" s="77"/>
      <c r="H176" s="77"/>
    </row>
    <row r="177" customFormat="false" ht="15.75" hidden="false" customHeight="true" outlineLevel="0" collapsed="false">
      <c r="A177" s="77"/>
      <c r="B177" s="77"/>
      <c r="C177" s="77"/>
      <c r="D177" s="77"/>
      <c r="E177" s="77"/>
      <c r="F177" s="77"/>
      <c r="G177" s="77"/>
      <c r="H177" s="77"/>
    </row>
    <row r="178" customFormat="false" ht="15.75" hidden="false" customHeight="true" outlineLevel="0" collapsed="false">
      <c r="A178" s="77"/>
      <c r="B178" s="77"/>
      <c r="C178" s="77"/>
      <c r="D178" s="77"/>
      <c r="E178" s="77"/>
      <c r="F178" s="77"/>
      <c r="G178" s="77"/>
      <c r="H178" s="77"/>
    </row>
    <row r="179" customFormat="false" ht="15.75" hidden="false" customHeight="true" outlineLevel="0" collapsed="false">
      <c r="A179" s="77"/>
      <c r="B179" s="77"/>
      <c r="C179" s="77"/>
      <c r="D179" s="77"/>
      <c r="E179" s="77"/>
      <c r="F179" s="77"/>
      <c r="G179" s="77"/>
      <c r="H179" s="77"/>
    </row>
    <row r="180" customFormat="false" ht="15.75" hidden="false" customHeight="true" outlineLevel="0" collapsed="false">
      <c r="A180" s="77"/>
      <c r="B180" s="77"/>
      <c r="C180" s="77"/>
      <c r="D180" s="77"/>
      <c r="E180" s="77"/>
      <c r="F180" s="77"/>
      <c r="G180" s="77"/>
      <c r="H180" s="77"/>
    </row>
    <row r="181" customFormat="false" ht="15.75" hidden="false" customHeight="true" outlineLevel="0" collapsed="false">
      <c r="A181" s="77"/>
      <c r="B181" s="77"/>
      <c r="C181" s="77"/>
      <c r="D181" s="77"/>
      <c r="E181" s="77"/>
      <c r="F181" s="77"/>
      <c r="G181" s="77"/>
      <c r="H181" s="77"/>
    </row>
    <row r="182" customFormat="false" ht="15.75" hidden="false" customHeight="true" outlineLevel="0" collapsed="false">
      <c r="A182" s="77"/>
      <c r="B182" s="77"/>
      <c r="C182" s="77"/>
      <c r="D182" s="77"/>
      <c r="E182" s="77"/>
      <c r="F182" s="77"/>
      <c r="G182" s="77"/>
      <c r="H182" s="77"/>
    </row>
    <row r="183" customFormat="false" ht="15.75" hidden="false" customHeight="true" outlineLevel="0" collapsed="false">
      <c r="A183" s="77"/>
      <c r="B183" s="77"/>
      <c r="C183" s="77"/>
      <c r="D183" s="77"/>
      <c r="E183" s="77"/>
      <c r="F183" s="77"/>
      <c r="G183" s="77"/>
      <c r="H183" s="77"/>
    </row>
    <row r="184" customFormat="false" ht="15.75" hidden="false" customHeight="true" outlineLevel="0" collapsed="false">
      <c r="A184" s="77"/>
      <c r="B184" s="77"/>
      <c r="C184" s="77"/>
      <c r="D184" s="77"/>
      <c r="E184" s="77"/>
      <c r="F184" s="77"/>
      <c r="G184" s="77"/>
      <c r="H184" s="77"/>
    </row>
    <row r="185" customFormat="false" ht="15.75" hidden="false" customHeight="true" outlineLevel="0" collapsed="false">
      <c r="A185" s="77"/>
      <c r="B185" s="77"/>
      <c r="C185" s="77"/>
      <c r="D185" s="77"/>
      <c r="E185" s="77"/>
      <c r="F185" s="77"/>
      <c r="G185" s="77"/>
      <c r="H185" s="77"/>
    </row>
    <row r="186" customFormat="false" ht="15.75" hidden="false" customHeight="true" outlineLevel="0" collapsed="false">
      <c r="A186" s="77"/>
      <c r="B186" s="77"/>
      <c r="C186" s="77"/>
      <c r="D186" s="77"/>
      <c r="E186" s="77"/>
      <c r="F186" s="77"/>
      <c r="G186" s="77"/>
      <c r="H186" s="77"/>
    </row>
    <row r="187" customFormat="false" ht="15.75" hidden="false" customHeight="true" outlineLevel="0" collapsed="false">
      <c r="A187" s="77"/>
      <c r="B187" s="77"/>
      <c r="C187" s="77"/>
      <c r="D187" s="77"/>
      <c r="E187" s="77"/>
      <c r="F187" s="77"/>
      <c r="G187" s="77"/>
      <c r="H187" s="77"/>
    </row>
    <row r="188" customFormat="false" ht="15.75" hidden="false" customHeight="true" outlineLevel="0" collapsed="false">
      <c r="A188" s="77"/>
      <c r="B188" s="77"/>
      <c r="C188" s="77"/>
      <c r="D188" s="77"/>
      <c r="E188" s="77"/>
      <c r="F188" s="77"/>
      <c r="G188" s="77"/>
      <c r="H188" s="77"/>
    </row>
    <row r="189" customFormat="false" ht="15.75" hidden="false" customHeight="true" outlineLevel="0" collapsed="false">
      <c r="A189" s="77"/>
      <c r="B189" s="77"/>
      <c r="C189" s="77"/>
      <c r="D189" s="77"/>
      <c r="E189" s="77"/>
      <c r="F189" s="77"/>
      <c r="G189" s="77"/>
      <c r="H189" s="77"/>
    </row>
    <row r="190" customFormat="false" ht="15.75" hidden="false" customHeight="true" outlineLevel="0" collapsed="false">
      <c r="A190" s="77"/>
      <c r="B190" s="77"/>
      <c r="C190" s="77"/>
      <c r="D190" s="77"/>
      <c r="E190" s="77"/>
      <c r="F190" s="77"/>
      <c r="G190" s="77"/>
      <c r="H190" s="77"/>
    </row>
    <row r="191" customFormat="false" ht="15.75" hidden="false" customHeight="true" outlineLevel="0" collapsed="false">
      <c r="A191" s="77"/>
      <c r="B191" s="77"/>
      <c r="C191" s="77"/>
      <c r="D191" s="77"/>
      <c r="E191" s="77"/>
      <c r="F191" s="77"/>
      <c r="G191" s="77"/>
      <c r="H191" s="77"/>
    </row>
    <row r="192" customFormat="false" ht="15.75" hidden="false" customHeight="true" outlineLevel="0" collapsed="false">
      <c r="A192" s="77"/>
      <c r="B192" s="77"/>
      <c r="C192" s="77"/>
      <c r="D192" s="77"/>
      <c r="E192" s="77"/>
      <c r="F192" s="77"/>
      <c r="G192" s="77"/>
      <c r="H192" s="77"/>
    </row>
    <row r="193" customFormat="false" ht="15.75" hidden="false" customHeight="true" outlineLevel="0" collapsed="false">
      <c r="A193" s="77"/>
      <c r="B193" s="77"/>
      <c r="C193" s="77"/>
      <c r="D193" s="77"/>
      <c r="E193" s="77"/>
      <c r="F193" s="77"/>
      <c r="G193" s="77"/>
      <c r="H193" s="77"/>
    </row>
    <row r="194" customFormat="false" ht="15.75" hidden="false" customHeight="true" outlineLevel="0" collapsed="false">
      <c r="A194" s="77"/>
      <c r="B194" s="77"/>
      <c r="C194" s="77"/>
      <c r="D194" s="77"/>
      <c r="E194" s="77"/>
      <c r="F194" s="77"/>
      <c r="G194" s="77"/>
      <c r="H194" s="77"/>
    </row>
    <row r="195" customFormat="false" ht="15.75" hidden="false" customHeight="true" outlineLevel="0" collapsed="false">
      <c r="A195" s="77"/>
      <c r="B195" s="77"/>
      <c r="C195" s="77"/>
      <c r="D195" s="77"/>
      <c r="E195" s="77"/>
      <c r="F195" s="77"/>
      <c r="G195" s="77"/>
      <c r="H195" s="77"/>
    </row>
    <row r="196" customFormat="false" ht="15.75" hidden="false" customHeight="true" outlineLevel="0" collapsed="false">
      <c r="A196" s="77"/>
      <c r="B196" s="77"/>
      <c r="C196" s="77"/>
      <c r="D196" s="77"/>
      <c r="E196" s="77"/>
      <c r="F196" s="77"/>
      <c r="G196" s="77"/>
      <c r="H196" s="77"/>
    </row>
    <row r="197" customFormat="false" ht="15.75" hidden="false" customHeight="true" outlineLevel="0" collapsed="false">
      <c r="A197" s="77"/>
      <c r="B197" s="77"/>
      <c r="C197" s="77"/>
      <c r="D197" s="77"/>
      <c r="E197" s="77"/>
      <c r="F197" s="77"/>
      <c r="G197" s="77"/>
      <c r="H197" s="77"/>
    </row>
    <row r="198" customFormat="false" ht="15.75" hidden="false" customHeight="true" outlineLevel="0" collapsed="false">
      <c r="A198" s="77"/>
      <c r="B198" s="77"/>
      <c r="C198" s="77"/>
      <c r="D198" s="77"/>
      <c r="E198" s="77"/>
      <c r="F198" s="77"/>
      <c r="G198" s="77"/>
      <c r="H198" s="77"/>
    </row>
    <row r="199" customFormat="false" ht="15.75" hidden="false" customHeight="true" outlineLevel="0" collapsed="false">
      <c r="A199" s="77"/>
      <c r="B199" s="77"/>
      <c r="C199" s="77"/>
      <c r="D199" s="77"/>
      <c r="E199" s="77"/>
      <c r="F199" s="77"/>
      <c r="G199" s="77"/>
      <c r="H199" s="77"/>
    </row>
    <row r="200" customFormat="false" ht="15.75" hidden="false" customHeight="true" outlineLevel="0" collapsed="false">
      <c r="A200" s="77"/>
      <c r="B200" s="77"/>
      <c r="C200" s="77"/>
      <c r="D200" s="77"/>
      <c r="E200" s="77"/>
      <c r="F200" s="77"/>
      <c r="G200" s="77"/>
      <c r="H200" s="77"/>
    </row>
    <row r="201" customFormat="false" ht="15.75" hidden="false" customHeight="true" outlineLevel="0" collapsed="false">
      <c r="A201" s="77"/>
      <c r="B201" s="77"/>
      <c r="C201" s="77"/>
      <c r="D201" s="77"/>
      <c r="E201" s="77"/>
      <c r="F201" s="77"/>
      <c r="G201" s="77"/>
      <c r="H201" s="77"/>
    </row>
    <row r="202" customFormat="false" ht="15.75" hidden="false" customHeight="true" outlineLevel="0" collapsed="false">
      <c r="A202" s="77"/>
      <c r="B202" s="77"/>
      <c r="C202" s="77"/>
      <c r="D202" s="77"/>
      <c r="E202" s="77"/>
      <c r="F202" s="77"/>
      <c r="G202" s="77"/>
      <c r="H202" s="77"/>
    </row>
    <row r="203" customFormat="false" ht="15.75" hidden="false" customHeight="true" outlineLevel="0" collapsed="false">
      <c r="A203" s="77"/>
      <c r="B203" s="77"/>
      <c r="C203" s="77"/>
      <c r="D203" s="77"/>
      <c r="E203" s="77"/>
      <c r="F203" s="77"/>
      <c r="G203" s="77"/>
      <c r="H203" s="77"/>
    </row>
    <row r="204" customFormat="false" ht="15.75" hidden="false" customHeight="true" outlineLevel="0" collapsed="false">
      <c r="A204" s="77"/>
      <c r="B204" s="77"/>
      <c r="C204" s="77"/>
      <c r="D204" s="77"/>
      <c r="E204" s="77"/>
      <c r="F204" s="77"/>
      <c r="G204" s="77"/>
      <c r="H204" s="77"/>
    </row>
    <row r="205" customFormat="false" ht="15.75" hidden="false" customHeight="true" outlineLevel="0" collapsed="false">
      <c r="A205" s="77"/>
      <c r="B205" s="77"/>
      <c r="C205" s="77"/>
      <c r="D205" s="77"/>
      <c r="E205" s="77"/>
      <c r="F205" s="77"/>
      <c r="G205" s="77"/>
      <c r="H205" s="77"/>
    </row>
    <row r="206" customFormat="false" ht="15.75" hidden="false" customHeight="true" outlineLevel="0" collapsed="false">
      <c r="A206" s="77"/>
      <c r="B206" s="77"/>
      <c r="C206" s="77"/>
      <c r="D206" s="77"/>
      <c r="E206" s="77"/>
      <c r="F206" s="77"/>
      <c r="G206" s="77"/>
      <c r="H206" s="77"/>
    </row>
    <row r="207" customFormat="false" ht="15.75" hidden="false" customHeight="true" outlineLevel="0" collapsed="false">
      <c r="A207" s="77"/>
      <c r="B207" s="77"/>
      <c r="C207" s="77"/>
      <c r="D207" s="77"/>
      <c r="E207" s="77"/>
      <c r="F207" s="77"/>
      <c r="G207" s="77"/>
      <c r="H207" s="77"/>
    </row>
    <row r="208" customFormat="false" ht="15.75" hidden="false" customHeight="true" outlineLevel="0" collapsed="false">
      <c r="A208" s="77"/>
      <c r="B208" s="77"/>
      <c r="C208" s="77"/>
      <c r="D208" s="77"/>
      <c r="E208" s="77"/>
      <c r="F208" s="77"/>
      <c r="G208" s="77"/>
      <c r="H208" s="77"/>
    </row>
    <row r="209" customFormat="false" ht="15.75" hidden="false" customHeight="true" outlineLevel="0" collapsed="false">
      <c r="A209" s="77"/>
      <c r="B209" s="77"/>
      <c r="C209" s="77"/>
      <c r="D209" s="77"/>
      <c r="E209" s="77"/>
      <c r="F209" s="77"/>
      <c r="G209" s="77"/>
      <c r="H209" s="77"/>
    </row>
    <row r="210" customFormat="false" ht="15.75" hidden="false" customHeight="true" outlineLevel="0" collapsed="false">
      <c r="A210" s="77"/>
      <c r="B210" s="77"/>
      <c r="C210" s="77"/>
      <c r="D210" s="77"/>
      <c r="E210" s="77"/>
      <c r="F210" s="77"/>
      <c r="G210" s="77"/>
      <c r="H210" s="77"/>
    </row>
    <row r="211" customFormat="false" ht="15.75" hidden="false" customHeight="true" outlineLevel="0" collapsed="false">
      <c r="A211" s="77"/>
      <c r="B211" s="77"/>
      <c r="C211" s="77"/>
      <c r="D211" s="77"/>
      <c r="E211" s="77"/>
      <c r="F211" s="77"/>
      <c r="G211" s="77"/>
      <c r="H211" s="77"/>
    </row>
    <row r="212" customFormat="false" ht="15.75" hidden="false" customHeight="true" outlineLevel="0" collapsed="false">
      <c r="A212" s="77"/>
      <c r="B212" s="77"/>
      <c r="C212" s="77"/>
      <c r="D212" s="77"/>
      <c r="E212" s="77"/>
      <c r="F212" s="77"/>
      <c r="G212" s="77"/>
      <c r="H212" s="77"/>
    </row>
    <row r="213" customFormat="false" ht="15.75" hidden="false" customHeight="true" outlineLevel="0" collapsed="false">
      <c r="A213" s="77"/>
      <c r="B213" s="77"/>
      <c r="C213" s="77"/>
      <c r="D213" s="77"/>
      <c r="E213" s="77"/>
      <c r="F213" s="77"/>
      <c r="G213" s="77"/>
      <c r="H213" s="77"/>
    </row>
    <row r="214" customFormat="false" ht="15.75" hidden="false" customHeight="true" outlineLevel="0" collapsed="false">
      <c r="A214" s="77"/>
      <c r="B214" s="77"/>
      <c r="C214" s="77"/>
      <c r="D214" s="77"/>
      <c r="E214" s="77"/>
      <c r="F214" s="77"/>
      <c r="G214" s="77"/>
      <c r="H214" s="77"/>
    </row>
    <row r="215" customFormat="false" ht="15.75" hidden="false" customHeight="true" outlineLevel="0" collapsed="false">
      <c r="A215" s="77"/>
      <c r="B215" s="77"/>
      <c r="C215" s="77"/>
      <c r="D215" s="77"/>
      <c r="E215" s="77"/>
      <c r="F215" s="77"/>
      <c r="G215" s="77"/>
      <c r="H215" s="77"/>
    </row>
    <row r="216" customFormat="false" ht="15.75" hidden="false" customHeight="true" outlineLevel="0" collapsed="false">
      <c r="A216" s="77"/>
      <c r="B216" s="77"/>
      <c r="C216" s="77"/>
      <c r="D216" s="77"/>
      <c r="E216" s="77"/>
      <c r="F216" s="77"/>
      <c r="G216" s="77"/>
      <c r="H216" s="77"/>
    </row>
    <row r="217" customFormat="false" ht="15.75" hidden="false" customHeight="true" outlineLevel="0" collapsed="false">
      <c r="A217" s="77"/>
      <c r="B217" s="77"/>
      <c r="C217" s="77"/>
      <c r="D217" s="77"/>
      <c r="E217" s="77"/>
      <c r="F217" s="77"/>
      <c r="G217" s="77"/>
      <c r="H217" s="77"/>
    </row>
    <row r="218" customFormat="false" ht="15.75" hidden="false" customHeight="true" outlineLevel="0" collapsed="false">
      <c r="A218" s="77"/>
      <c r="B218" s="77"/>
      <c r="C218" s="77"/>
      <c r="D218" s="77"/>
      <c r="E218" s="77"/>
      <c r="F218" s="77"/>
      <c r="G218" s="77"/>
      <c r="H218" s="77"/>
    </row>
    <row r="219" customFormat="false" ht="15.75" hidden="false" customHeight="true" outlineLevel="0" collapsed="false">
      <c r="A219" s="77"/>
      <c r="B219" s="77"/>
      <c r="C219" s="77"/>
      <c r="D219" s="77"/>
      <c r="E219" s="77"/>
      <c r="F219" s="77"/>
      <c r="G219" s="77"/>
      <c r="H219" s="77"/>
    </row>
    <row r="220" customFormat="false" ht="15.75" hidden="false" customHeight="true" outlineLevel="0" collapsed="false">
      <c r="A220" s="77"/>
      <c r="B220" s="77"/>
      <c r="C220" s="77"/>
      <c r="D220" s="77"/>
      <c r="E220" s="77"/>
      <c r="F220" s="77"/>
      <c r="G220" s="77"/>
      <c r="H220" s="77"/>
    </row>
    <row r="221" customFormat="false" ht="15.75" hidden="false" customHeight="true" outlineLevel="0" collapsed="false">
      <c r="A221" s="77"/>
      <c r="B221" s="77"/>
      <c r="C221" s="77"/>
      <c r="D221" s="77"/>
      <c r="E221" s="77"/>
      <c r="F221" s="77"/>
      <c r="G221" s="77"/>
      <c r="H221" s="77"/>
    </row>
    <row r="222" customFormat="false" ht="15.75" hidden="false" customHeight="true" outlineLevel="0" collapsed="false">
      <c r="A222" s="77"/>
      <c r="B222" s="77"/>
      <c r="C222" s="77"/>
      <c r="D222" s="77"/>
      <c r="E222" s="77"/>
      <c r="F222" s="77"/>
      <c r="G222" s="77"/>
      <c r="H222" s="77"/>
    </row>
    <row r="223" customFormat="false" ht="15.75" hidden="false" customHeight="true" outlineLevel="0" collapsed="false">
      <c r="A223" s="77"/>
      <c r="B223" s="77"/>
      <c r="C223" s="77"/>
      <c r="D223" s="77"/>
      <c r="E223" s="77"/>
      <c r="F223" s="77"/>
      <c r="G223" s="77"/>
      <c r="H223" s="77"/>
    </row>
    <row r="224" customFormat="false" ht="15.75" hidden="false" customHeight="true" outlineLevel="0" collapsed="false">
      <c r="A224" s="77"/>
      <c r="B224" s="77"/>
      <c r="C224" s="77"/>
      <c r="D224" s="77"/>
      <c r="E224" s="77"/>
      <c r="F224" s="77"/>
      <c r="G224" s="77"/>
      <c r="H224" s="77"/>
    </row>
    <row r="225" customFormat="false" ht="15.75" hidden="false" customHeight="true" outlineLevel="0" collapsed="false">
      <c r="A225" s="77"/>
      <c r="B225" s="77"/>
      <c r="C225" s="77"/>
      <c r="D225" s="77"/>
      <c r="E225" s="77"/>
      <c r="F225" s="77"/>
      <c r="G225" s="77"/>
      <c r="H225" s="77"/>
    </row>
    <row r="226" customFormat="false" ht="15.75" hidden="false" customHeight="true" outlineLevel="0" collapsed="false">
      <c r="A226" s="77"/>
      <c r="B226" s="77"/>
      <c r="C226" s="77"/>
      <c r="D226" s="77"/>
      <c r="E226" s="77"/>
      <c r="F226" s="77"/>
      <c r="G226" s="77"/>
      <c r="H226" s="77"/>
    </row>
    <row r="227" customFormat="false" ht="15.75" hidden="false" customHeight="true" outlineLevel="0" collapsed="false">
      <c r="A227" s="77"/>
      <c r="B227" s="77"/>
      <c r="C227" s="77"/>
      <c r="D227" s="77"/>
      <c r="E227" s="77"/>
      <c r="F227" s="77"/>
      <c r="G227" s="77"/>
      <c r="H227" s="77"/>
    </row>
    <row r="228" customFormat="false" ht="15.75" hidden="false" customHeight="true" outlineLevel="0" collapsed="false">
      <c r="A228" s="77"/>
      <c r="B228" s="77"/>
      <c r="C228" s="77"/>
      <c r="D228" s="77"/>
      <c r="E228" s="77"/>
      <c r="F228" s="77"/>
      <c r="G228" s="77"/>
      <c r="H228" s="77"/>
    </row>
    <row r="229" customFormat="false" ht="15.75" hidden="false" customHeight="true" outlineLevel="0" collapsed="false">
      <c r="A229" s="77"/>
      <c r="B229" s="77"/>
      <c r="C229" s="77"/>
      <c r="D229" s="77"/>
      <c r="E229" s="77"/>
      <c r="F229" s="77"/>
      <c r="G229" s="77"/>
      <c r="H229" s="77"/>
    </row>
    <row r="230" customFormat="false" ht="15.75" hidden="false" customHeight="true" outlineLevel="0" collapsed="false">
      <c r="A230" s="77"/>
      <c r="B230" s="77"/>
      <c r="C230" s="77"/>
      <c r="D230" s="77"/>
      <c r="E230" s="77"/>
      <c r="F230" s="77"/>
      <c r="G230" s="77"/>
      <c r="H230" s="77"/>
    </row>
    <row r="231" customFormat="false" ht="15.75" hidden="false" customHeight="true" outlineLevel="0" collapsed="false">
      <c r="A231" s="77"/>
      <c r="B231" s="77"/>
      <c r="C231" s="77"/>
      <c r="D231" s="77"/>
      <c r="E231" s="77"/>
      <c r="F231" s="77"/>
      <c r="G231" s="77"/>
      <c r="H231" s="77"/>
    </row>
    <row r="232" customFormat="false" ht="15.75" hidden="false" customHeight="true" outlineLevel="0" collapsed="false">
      <c r="A232" s="77"/>
      <c r="B232" s="77"/>
      <c r="C232" s="77"/>
      <c r="D232" s="77"/>
      <c r="E232" s="77"/>
      <c r="F232" s="77"/>
      <c r="G232" s="77"/>
      <c r="H232" s="77"/>
    </row>
    <row r="233" customFormat="false" ht="15.75" hidden="false" customHeight="true" outlineLevel="0" collapsed="false">
      <c r="A233" s="77"/>
      <c r="B233" s="77"/>
      <c r="C233" s="77"/>
      <c r="D233" s="77"/>
      <c r="E233" s="77"/>
      <c r="F233" s="77"/>
      <c r="G233" s="77"/>
      <c r="H233" s="77"/>
    </row>
    <row r="234" customFormat="false" ht="15.75" hidden="false" customHeight="true" outlineLevel="0" collapsed="false">
      <c r="A234" s="77"/>
      <c r="B234" s="77"/>
      <c r="C234" s="77"/>
      <c r="D234" s="77"/>
      <c r="E234" s="77"/>
      <c r="F234" s="77"/>
      <c r="G234" s="77"/>
      <c r="H234" s="77"/>
    </row>
    <row r="235" customFormat="false" ht="15.75" hidden="false" customHeight="true" outlineLevel="0" collapsed="false">
      <c r="A235" s="77"/>
      <c r="B235" s="77"/>
      <c r="C235" s="77"/>
      <c r="D235" s="77"/>
      <c r="E235" s="77"/>
      <c r="F235" s="77"/>
      <c r="G235" s="77"/>
      <c r="H235" s="77"/>
    </row>
    <row r="236" customFormat="false" ht="15.75" hidden="false" customHeight="true" outlineLevel="0" collapsed="false">
      <c r="A236" s="77"/>
      <c r="B236" s="77"/>
      <c r="C236" s="77"/>
      <c r="D236" s="77"/>
      <c r="E236" s="77"/>
      <c r="F236" s="77"/>
      <c r="G236" s="77"/>
      <c r="H236" s="77"/>
    </row>
    <row r="237" customFormat="false" ht="15.75" hidden="false" customHeight="true" outlineLevel="0" collapsed="false">
      <c r="A237" s="77"/>
      <c r="B237" s="77"/>
      <c r="C237" s="77"/>
      <c r="D237" s="77"/>
      <c r="E237" s="77"/>
      <c r="F237" s="77"/>
      <c r="G237" s="77"/>
      <c r="H237" s="77"/>
    </row>
    <row r="238" customFormat="false" ht="15.75" hidden="false" customHeight="true" outlineLevel="0" collapsed="false">
      <c r="A238" s="77"/>
      <c r="B238" s="77"/>
      <c r="C238" s="77"/>
      <c r="D238" s="77"/>
      <c r="E238" s="77"/>
      <c r="F238" s="77"/>
      <c r="G238" s="77"/>
      <c r="H238" s="77"/>
    </row>
    <row r="239" customFormat="false" ht="15.75" hidden="false" customHeight="true" outlineLevel="0" collapsed="false">
      <c r="A239" s="77"/>
      <c r="B239" s="77"/>
      <c r="C239" s="77"/>
      <c r="D239" s="77"/>
      <c r="E239" s="77"/>
      <c r="F239" s="77"/>
      <c r="G239" s="77"/>
      <c r="H239" s="77"/>
    </row>
    <row r="240" customFormat="false" ht="15.75" hidden="false" customHeight="true" outlineLevel="0" collapsed="false">
      <c r="A240" s="77"/>
      <c r="B240" s="77"/>
      <c r="C240" s="77"/>
      <c r="D240" s="77"/>
      <c r="E240" s="77"/>
      <c r="F240" s="77"/>
      <c r="G240" s="77"/>
      <c r="H240" s="77"/>
    </row>
    <row r="241" customFormat="false" ht="15.75" hidden="false" customHeight="true" outlineLevel="0" collapsed="false">
      <c r="A241" s="77"/>
      <c r="B241" s="77"/>
      <c r="C241" s="77"/>
      <c r="D241" s="77"/>
      <c r="E241" s="77"/>
      <c r="F241" s="77"/>
      <c r="G241" s="77"/>
      <c r="H241" s="77"/>
    </row>
    <row r="242" customFormat="false" ht="15.75" hidden="false" customHeight="true" outlineLevel="0" collapsed="false">
      <c r="A242" s="77"/>
      <c r="B242" s="77"/>
      <c r="C242" s="77"/>
      <c r="D242" s="77"/>
      <c r="E242" s="77"/>
      <c r="F242" s="77"/>
      <c r="G242" s="77"/>
      <c r="H242" s="77"/>
    </row>
    <row r="243" customFormat="false" ht="15.75" hidden="false" customHeight="true" outlineLevel="0" collapsed="false">
      <c r="A243" s="77"/>
      <c r="B243" s="77"/>
      <c r="C243" s="77"/>
      <c r="D243" s="77"/>
      <c r="E243" s="77"/>
      <c r="F243" s="77"/>
      <c r="G243" s="77"/>
      <c r="H243" s="77"/>
    </row>
    <row r="244" customFormat="false" ht="15.75" hidden="false" customHeight="true" outlineLevel="0" collapsed="false">
      <c r="A244" s="77"/>
      <c r="B244" s="77"/>
      <c r="C244" s="77"/>
      <c r="D244" s="77"/>
      <c r="E244" s="77"/>
      <c r="F244" s="77"/>
      <c r="G244" s="77"/>
      <c r="H244" s="77"/>
    </row>
    <row r="245" customFormat="false" ht="15.75" hidden="false" customHeight="true" outlineLevel="0" collapsed="false">
      <c r="A245" s="77"/>
      <c r="B245" s="77"/>
      <c r="C245" s="77"/>
      <c r="D245" s="77"/>
      <c r="E245" s="77"/>
      <c r="F245" s="77"/>
      <c r="G245" s="77"/>
      <c r="H245" s="77"/>
    </row>
    <row r="246" customFormat="false" ht="15.75" hidden="false" customHeight="true" outlineLevel="0" collapsed="false">
      <c r="A246" s="77"/>
      <c r="B246" s="77"/>
      <c r="C246" s="77"/>
      <c r="D246" s="77"/>
      <c r="E246" s="77"/>
      <c r="F246" s="77"/>
      <c r="G246" s="77"/>
      <c r="H246" s="77"/>
    </row>
    <row r="247" customFormat="false" ht="15.75" hidden="false" customHeight="true" outlineLevel="0" collapsed="false">
      <c r="A247" s="77"/>
      <c r="B247" s="77"/>
      <c r="C247" s="77"/>
      <c r="D247" s="77"/>
      <c r="E247" s="77"/>
      <c r="F247" s="77"/>
      <c r="G247" s="77"/>
      <c r="H247" s="77"/>
    </row>
    <row r="248" customFormat="false" ht="15.75" hidden="false" customHeight="true" outlineLevel="0" collapsed="false">
      <c r="A248" s="77"/>
      <c r="B248" s="77"/>
      <c r="C248" s="77"/>
      <c r="D248" s="77"/>
      <c r="E248" s="77"/>
      <c r="F248" s="77"/>
      <c r="G248" s="77"/>
      <c r="H248" s="77"/>
    </row>
    <row r="249" customFormat="false" ht="15.75" hidden="false" customHeight="true" outlineLevel="0" collapsed="false">
      <c r="A249" s="77"/>
      <c r="B249" s="77"/>
      <c r="C249" s="77"/>
      <c r="D249" s="77"/>
      <c r="E249" s="77"/>
      <c r="F249" s="77"/>
      <c r="G249" s="77"/>
      <c r="H249" s="77"/>
    </row>
    <row r="250" customFormat="false" ht="15.75" hidden="false" customHeight="true" outlineLevel="0" collapsed="false">
      <c r="A250" s="77"/>
      <c r="B250" s="77"/>
      <c r="C250" s="77"/>
      <c r="D250" s="77"/>
      <c r="E250" s="77"/>
      <c r="F250" s="77"/>
      <c r="G250" s="77"/>
      <c r="H250" s="77"/>
    </row>
    <row r="251" customFormat="false" ht="15.75" hidden="false" customHeight="true" outlineLevel="0" collapsed="false">
      <c r="A251" s="77"/>
      <c r="B251" s="77"/>
      <c r="C251" s="77"/>
      <c r="D251" s="77"/>
      <c r="E251" s="77"/>
      <c r="F251" s="77"/>
      <c r="G251" s="77"/>
      <c r="H251" s="77"/>
    </row>
    <row r="252" customFormat="false" ht="15.75" hidden="false" customHeight="true" outlineLevel="0" collapsed="false">
      <c r="A252" s="77"/>
      <c r="B252" s="77"/>
      <c r="C252" s="77"/>
      <c r="D252" s="77"/>
      <c r="E252" s="77"/>
      <c r="F252" s="77"/>
      <c r="G252" s="77"/>
      <c r="H252" s="77"/>
    </row>
    <row r="253" customFormat="false" ht="15.75" hidden="false" customHeight="true" outlineLevel="0" collapsed="false">
      <c r="A253" s="77"/>
      <c r="B253" s="77"/>
      <c r="C253" s="77"/>
      <c r="D253" s="77"/>
      <c r="E253" s="77"/>
      <c r="F253" s="77"/>
      <c r="G253" s="77"/>
      <c r="H253" s="77"/>
    </row>
    <row r="254" customFormat="false" ht="15.75" hidden="false" customHeight="true" outlineLevel="0" collapsed="false">
      <c r="A254" s="77"/>
      <c r="B254" s="77"/>
      <c r="C254" s="77"/>
      <c r="D254" s="77"/>
      <c r="E254" s="77"/>
      <c r="F254" s="77"/>
      <c r="G254" s="77"/>
      <c r="H254" s="77"/>
    </row>
    <row r="255" customFormat="false" ht="15.75" hidden="false" customHeight="true" outlineLevel="0" collapsed="false">
      <c r="A255" s="77"/>
      <c r="B255" s="77"/>
      <c r="C255" s="77"/>
      <c r="D255" s="77"/>
      <c r="E255" s="77"/>
      <c r="F255" s="77"/>
      <c r="G255" s="77"/>
      <c r="H255" s="77"/>
    </row>
    <row r="256" customFormat="false" ht="15.75" hidden="false" customHeight="true" outlineLevel="0" collapsed="false">
      <c r="A256" s="77"/>
      <c r="B256" s="77"/>
      <c r="C256" s="77"/>
      <c r="D256" s="77"/>
      <c r="E256" s="77"/>
      <c r="F256" s="77"/>
      <c r="G256" s="77"/>
      <c r="H256" s="77"/>
    </row>
    <row r="257" customFormat="false" ht="15.75" hidden="false" customHeight="true" outlineLevel="0" collapsed="false">
      <c r="A257" s="77"/>
      <c r="B257" s="77"/>
      <c r="C257" s="77"/>
      <c r="D257" s="77"/>
      <c r="E257" s="77"/>
      <c r="F257" s="77"/>
      <c r="G257" s="77"/>
      <c r="H257" s="77"/>
    </row>
    <row r="258" customFormat="false" ht="15.75" hidden="false" customHeight="true" outlineLevel="0" collapsed="false">
      <c r="A258" s="77"/>
      <c r="B258" s="77"/>
      <c r="C258" s="77"/>
      <c r="D258" s="77"/>
      <c r="E258" s="77"/>
      <c r="F258" s="77"/>
      <c r="G258" s="77"/>
      <c r="H258" s="77"/>
    </row>
    <row r="259" customFormat="false" ht="15.75" hidden="false" customHeight="true" outlineLevel="0" collapsed="false">
      <c r="A259" s="77"/>
      <c r="B259" s="77"/>
      <c r="C259" s="77"/>
      <c r="D259" s="77"/>
      <c r="E259" s="77"/>
      <c r="F259" s="77"/>
      <c r="G259" s="77"/>
      <c r="H259" s="77"/>
    </row>
    <row r="260" customFormat="false" ht="15.75" hidden="false" customHeight="true" outlineLevel="0" collapsed="false">
      <c r="A260" s="77"/>
      <c r="B260" s="77"/>
      <c r="C260" s="77"/>
      <c r="D260" s="77"/>
      <c r="E260" s="77"/>
      <c r="F260" s="77"/>
      <c r="G260" s="77"/>
      <c r="H260" s="77"/>
    </row>
    <row r="261" customFormat="false" ht="15.75" hidden="false" customHeight="true" outlineLevel="0" collapsed="false">
      <c r="A261" s="77"/>
      <c r="B261" s="77"/>
      <c r="C261" s="77"/>
      <c r="D261" s="77"/>
      <c r="E261" s="77"/>
      <c r="F261" s="77"/>
      <c r="G261" s="77"/>
      <c r="H261" s="77"/>
    </row>
    <row r="262" customFormat="false" ht="15.75" hidden="false" customHeight="true" outlineLevel="0" collapsed="false">
      <c r="A262" s="77"/>
      <c r="B262" s="77"/>
      <c r="C262" s="77"/>
      <c r="D262" s="77"/>
      <c r="E262" s="77"/>
      <c r="F262" s="77"/>
      <c r="G262" s="77"/>
      <c r="H262" s="77"/>
    </row>
    <row r="263" customFormat="false" ht="15.75" hidden="false" customHeight="true" outlineLevel="0" collapsed="false">
      <c r="A263" s="77"/>
      <c r="B263" s="77"/>
      <c r="C263" s="77"/>
      <c r="D263" s="77"/>
      <c r="E263" s="77"/>
      <c r="F263" s="77"/>
      <c r="G263" s="77"/>
      <c r="H263" s="77"/>
    </row>
    <row r="264" customFormat="false" ht="15.75" hidden="false" customHeight="true" outlineLevel="0" collapsed="false">
      <c r="A264" s="77"/>
      <c r="B264" s="77"/>
      <c r="C264" s="77"/>
      <c r="D264" s="77"/>
      <c r="E264" s="77"/>
      <c r="F264" s="77"/>
      <c r="G264" s="77"/>
      <c r="H264" s="77"/>
    </row>
    <row r="265" customFormat="false" ht="15.75" hidden="false" customHeight="true" outlineLevel="0" collapsed="false">
      <c r="A265" s="77"/>
      <c r="B265" s="77"/>
      <c r="C265" s="77"/>
      <c r="D265" s="77"/>
      <c r="E265" s="77"/>
      <c r="F265" s="77"/>
      <c r="G265" s="77"/>
      <c r="H265" s="77"/>
    </row>
    <row r="266" customFormat="false" ht="15.75" hidden="false" customHeight="true" outlineLevel="0" collapsed="false">
      <c r="A266" s="77"/>
      <c r="B266" s="77"/>
      <c r="C266" s="77"/>
      <c r="D266" s="77"/>
      <c r="E266" s="77"/>
      <c r="F266" s="77"/>
      <c r="G266" s="77"/>
      <c r="H266" s="77"/>
    </row>
    <row r="267" customFormat="false" ht="15.75" hidden="false" customHeight="true" outlineLevel="0" collapsed="false">
      <c r="A267" s="77"/>
      <c r="B267" s="77"/>
      <c r="C267" s="77"/>
      <c r="D267" s="77"/>
      <c r="E267" s="77"/>
      <c r="F267" s="77"/>
      <c r="G267" s="77"/>
      <c r="H267" s="77"/>
    </row>
    <row r="268" customFormat="false" ht="15.75" hidden="false" customHeight="true" outlineLevel="0" collapsed="false">
      <c r="A268" s="77"/>
      <c r="B268" s="77"/>
      <c r="C268" s="77"/>
      <c r="D268" s="77"/>
      <c r="E268" s="77"/>
      <c r="F268" s="77"/>
      <c r="G268" s="77"/>
      <c r="H268" s="77"/>
    </row>
    <row r="269" customFormat="false" ht="15.75" hidden="false" customHeight="true" outlineLevel="0" collapsed="false">
      <c r="A269" s="77"/>
      <c r="B269" s="77"/>
      <c r="C269" s="77"/>
      <c r="D269" s="77"/>
      <c r="E269" s="77"/>
      <c r="F269" s="77"/>
      <c r="G269" s="77"/>
      <c r="H269" s="77"/>
    </row>
    <row r="270" customFormat="false" ht="15.75" hidden="false" customHeight="true" outlineLevel="0" collapsed="false">
      <c r="A270" s="77"/>
      <c r="B270" s="77"/>
      <c r="C270" s="77"/>
      <c r="D270" s="77"/>
      <c r="E270" s="77"/>
      <c r="F270" s="77"/>
      <c r="G270" s="77"/>
      <c r="H270" s="77"/>
    </row>
    <row r="271" customFormat="false" ht="15.75" hidden="false" customHeight="true" outlineLevel="0" collapsed="false">
      <c r="A271" s="77"/>
      <c r="B271" s="77"/>
      <c r="C271" s="77"/>
      <c r="D271" s="77"/>
      <c r="E271" s="77"/>
      <c r="F271" s="77"/>
      <c r="G271" s="77"/>
      <c r="H271" s="77"/>
    </row>
    <row r="272" customFormat="false" ht="15.75" hidden="false" customHeight="true" outlineLevel="0" collapsed="false">
      <c r="A272" s="77"/>
      <c r="B272" s="77"/>
      <c r="C272" s="77"/>
      <c r="D272" s="77"/>
      <c r="E272" s="77"/>
      <c r="F272" s="77"/>
      <c r="G272" s="77"/>
      <c r="H272" s="77"/>
    </row>
    <row r="273" customFormat="false" ht="15.75" hidden="false" customHeight="true" outlineLevel="0" collapsed="false">
      <c r="A273" s="77"/>
      <c r="B273" s="77"/>
      <c r="C273" s="77"/>
      <c r="D273" s="77"/>
      <c r="E273" s="77"/>
      <c r="F273" s="77"/>
      <c r="G273" s="77"/>
      <c r="H273" s="77"/>
    </row>
    <row r="274" customFormat="false" ht="15.75" hidden="false" customHeight="true" outlineLevel="0" collapsed="false">
      <c r="A274" s="77"/>
      <c r="B274" s="77"/>
      <c r="C274" s="77"/>
      <c r="D274" s="77"/>
      <c r="E274" s="77"/>
      <c r="F274" s="77"/>
      <c r="G274" s="77"/>
      <c r="H274" s="77"/>
    </row>
    <row r="275" customFormat="false" ht="15.75" hidden="false" customHeight="true" outlineLevel="0" collapsed="false">
      <c r="A275" s="77"/>
      <c r="B275" s="77"/>
      <c r="C275" s="77"/>
      <c r="D275" s="77"/>
      <c r="E275" s="77"/>
      <c r="F275" s="77"/>
      <c r="G275" s="77"/>
      <c r="H275" s="77"/>
    </row>
    <row r="276" customFormat="false" ht="15.75" hidden="false" customHeight="true" outlineLevel="0" collapsed="false">
      <c r="A276" s="77"/>
      <c r="B276" s="77"/>
      <c r="C276" s="77"/>
      <c r="D276" s="77"/>
      <c r="E276" s="77"/>
      <c r="F276" s="77"/>
      <c r="G276" s="77"/>
      <c r="H276" s="77"/>
    </row>
    <row r="277" customFormat="false" ht="15.75" hidden="false" customHeight="true" outlineLevel="0" collapsed="false">
      <c r="A277" s="77"/>
      <c r="B277" s="77"/>
      <c r="C277" s="77"/>
      <c r="D277" s="77"/>
      <c r="E277" s="77"/>
      <c r="F277" s="77"/>
      <c r="G277" s="77"/>
      <c r="H277" s="77"/>
    </row>
    <row r="278" customFormat="false" ht="15.75" hidden="false" customHeight="true" outlineLevel="0" collapsed="false">
      <c r="A278" s="77"/>
      <c r="B278" s="77"/>
      <c r="C278" s="77"/>
      <c r="D278" s="77"/>
      <c r="E278" s="77"/>
      <c r="F278" s="77"/>
      <c r="G278" s="77"/>
      <c r="H278" s="77"/>
    </row>
    <row r="279" customFormat="false" ht="15.75" hidden="false" customHeight="true" outlineLevel="0" collapsed="false">
      <c r="A279" s="77"/>
      <c r="B279" s="77"/>
      <c r="C279" s="77"/>
      <c r="D279" s="77"/>
      <c r="E279" s="77"/>
      <c r="F279" s="77"/>
      <c r="G279" s="77"/>
      <c r="H279" s="77"/>
    </row>
    <row r="280" customFormat="false" ht="15.75" hidden="false" customHeight="true" outlineLevel="0" collapsed="false">
      <c r="A280" s="77"/>
      <c r="B280" s="77"/>
      <c r="C280" s="77"/>
      <c r="D280" s="77"/>
      <c r="E280" s="77"/>
      <c r="F280" s="77"/>
      <c r="G280" s="77"/>
      <c r="H280" s="77"/>
    </row>
    <row r="281" customFormat="false" ht="15.75" hidden="false" customHeight="true" outlineLevel="0" collapsed="false">
      <c r="A281" s="77"/>
      <c r="B281" s="77"/>
      <c r="C281" s="77"/>
      <c r="D281" s="77"/>
      <c r="E281" s="77"/>
      <c r="F281" s="77"/>
      <c r="G281" s="77"/>
      <c r="H281" s="77"/>
    </row>
    <row r="282" customFormat="false" ht="15.75" hidden="false" customHeight="true" outlineLevel="0" collapsed="false">
      <c r="A282" s="77"/>
      <c r="B282" s="77"/>
      <c r="C282" s="77"/>
      <c r="D282" s="77"/>
      <c r="E282" s="77"/>
      <c r="F282" s="77"/>
      <c r="G282" s="77"/>
      <c r="H282" s="77"/>
    </row>
    <row r="283" customFormat="false" ht="15.75" hidden="false" customHeight="true" outlineLevel="0" collapsed="false">
      <c r="A283" s="77"/>
      <c r="B283" s="77"/>
      <c r="C283" s="77"/>
      <c r="D283" s="77"/>
      <c r="E283" s="77"/>
      <c r="F283" s="77"/>
      <c r="G283" s="77"/>
      <c r="H283" s="77"/>
    </row>
    <row r="284" customFormat="false" ht="15.75" hidden="false" customHeight="true" outlineLevel="0" collapsed="false">
      <c r="A284" s="77"/>
      <c r="B284" s="77"/>
      <c r="C284" s="77"/>
      <c r="D284" s="77"/>
      <c r="E284" s="77"/>
      <c r="F284" s="77"/>
      <c r="G284" s="77"/>
      <c r="H284" s="77"/>
    </row>
    <row r="285" customFormat="false" ht="15.75" hidden="false" customHeight="true" outlineLevel="0" collapsed="false">
      <c r="A285" s="77"/>
      <c r="B285" s="77"/>
      <c r="C285" s="77"/>
      <c r="D285" s="77"/>
      <c r="E285" s="77"/>
      <c r="F285" s="77"/>
      <c r="G285" s="77"/>
      <c r="H285" s="77"/>
    </row>
    <row r="286" customFormat="false" ht="15.75" hidden="false" customHeight="true" outlineLevel="0" collapsed="false">
      <c r="A286" s="77"/>
      <c r="B286" s="77"/>
      <c r="C286" s="77"/>
      <c r="D286" s="77"/>
      <c r="E286" s="77"/>
      <c r="F286" s="77"/>
      <c r="G286" s="77"/>
      <c r="H286" s="77"/>
    </row>
    <row r="287" customFormat="false" ht="15.75" hidden="false" customHeight="true" outlineLevel="0" collapsed="false">
      <c r="A287" s="77"/>
      <c r="B287" s="77"/>
      <c r="C287" s="77"/>
      <c r="D287" s="77"/>
      <c r="E287" s="77"/>
      <c r="F287" s="77"/>
      <c r="G287" s="77"/>
      <c r="H287" s="77"/>
    </row>
    <row r="288" customFormat="false" ht="15.75" hidden="false" customHeight="true" outlineLevel="0" collapsed="false">
      <c r="A288" s="77"/>
      <c r="B288" s="77"/>
      <c r="C288" s="77"/>
      <c r="D288" s="77"/>
      <c r="E288" s="77"/>
      <c r="F288" s="77"/>
      <c r="G288" s="77"/>
      <c r="H288" s="77"/>
    </row>
    <row r="289" customFormat="false" ht="15.75" hidden="false" customHeight="true" outlineLevel="0" collapsed="false">
      <c r="A289" s="77"/>
      <c r="B289" s="77"/>
      <c r="C289" s="77"/>
      <c r="D289" s="77"/>
      <c r="E289" s="77"/>
      <c r="F289" s="77"/>
      <c r="G289" s="77"/>
      <c r="H289" s="77"/>
    </row>
    <row r="290" customFormat="false" ht="15.75" hidden="false" customHeight="true" outlineLevel="0" collapsed="false">
      <c r="A290" s="77"/>
      <c r="B290" s="77"/>
      <c r="C290" s="77"/>
      <c r="D290" s="77"/>
      <c r="E290" s="77"/>
      <c r="F290" s="77"/>
      <c r="G290" s="77"/>
      <c r="H290" s="77"/>
    </row>
    <row r="291" customFormat="false" ht="15.75" hidden="false" customHeight="true" outlineLevel="0" collapsed="false">
      <c r="A291" s="77"/>
      <c r="B291" s="77"/>
      <c r="C291" s="77"/>
      <c r="D291" s="77"/>
      <c r="E291" s="77"/>
      <c r="F291" s="77"/>
      <c r="G291" s="77"/>
      <c r="H291" s="77"/>
    </row>
    <row r="292" customFormat="false" ht="15.75" hidden="false" customHeight="true" outlineLevel="0" collapsed="false">
      <c r="A292" s="77"/>
      <c r="B292" s="77"/>
      <c r="C292" s="77"/>
      <c r="D292" s="77"/>
      <c r="E292" s="77"/>
      <c r="F292" s="77"/>
      <c r="G292" s="77"/>
      <c r="H292" s="77"/>
    </row>
    <row r="293" customFormat="false" ht="15.75" hidden="false" customHeight="true" outlineLevel="0" collapsed="false">
      <c r="A293" s="77"/>
      <c r="B293" s="77"/>
      <c r="C293" s="77"/>
      <c r="D293" s="77"/>
      <c r="E293" s="77"/>
      <c r="F293" s="77"/>
      <c r="G293" s="77"/>
      <c r="H293" s="77"/>
    </row>
    <row r="294" customFormat="false" ht="15.75" hidden="false" customHeight="true" outlineLevel="0" collapsed="false">
      <c r="A294" s="77"/>
      <c r="B294" s="77"/>
      <c r="C294" s="77"/>
      <c r="D294" s="77"/>
      <c r="E294" s="77"/>
      <c r="F294" s="77"/>
      <c r="G294" s="77"/>
      <c r="H294" s="77"/>
    </row>
    <row r="295" customFormat="false" ht="15.75" hidden="false" customHeight="true" outlineLevel="0" collapsed="false">
      <c r="A295" s="77"/>
      <c r="B295" s="77"/>
      <c r="C295" s="77"/>
      <c r="D295" s="77"/>
      <c r="E295" s="77"/>
      <c r="F295" s="77"/>
      <c r="G295" s="77"/>
      <c r="H295" s="77"/>
    </row>
    <row r="296" customFormat="false" ht="15.75" hidden="false" customHeight="true" outlineLevel="0" collapsed="false">
      <c r="A296" s="77"/>
      <c r="B296" s="77"/>
      <c r="C296" s="77"/>
      <c r="D296" s="77"/>
      <c r="E296" s="77"/>
      <c r="F296" s="77"/>
      <c r="G296" s="77"/>
      <c r="H296" s="77"/>
    </row>
    <row r="297" customFormat="false" ht="15.75" hidden="false" customHeight="true" outlineLevel="0" collapsed="false">
      <c r="A297" s="77"/>
      <c r="B297" s="77"/>
      <c r="C297" s="77"/>
      <c r="D297" s="77"/>
      <c r="E297" s="77"/>
      <c r="F297" s="77"/>
      <c r="G297" s="77"/>
      <c r="H297" s="77"/>
    </row>
    <row r="298" customFormat="false" ht="15.75" hidden="false" customHeight="true" outlineLevel="0" collapsed="false">
      <c r="A298" s="77"/>
      <c r="B298" s="77"/>
      <c r="C298" s="77"/>
      <c r="D298" s="77"/>
      <c r="E298" s="77"/>
      <c r="F298" s="77"/>
      <c r="G298" s="77"/>
      <c r="H298" s="77"/>
    </row>
    <row r="299" customFormat="false" ht="15.75" hidden="false" customHeight="true" outlineLevel="0" collapsed="false">
      <c r="A299" s="77"/>
      <c r="B299" s="77"/>
      <c r="C299" s="77"/>
      <c r="D299" s="77"/>
      <c r="E299" s="77"/>
      <c r="F299" s="77"/>
      <c r="G299" s="77"/>
      <c r="H299" s="77"/>
    </row>
    <row r="300" customFormat="false" ht="15.75" hidden="false" customHeight="true" outlineLevel="0" collapsed="false">
      <c r="A300" s="77"/>
      <c r="B300" s="77"/>
      <c r="C300" s="77"/>
      <c r="D300" s="77"/>
      <c r="E300" s="77"/>
      <c r="F300" s="77"/>
      <c r="G300" s="77"/>
      <c r="H300" s="77"/>
    </row>
    <row r="301" customFormat="false" ht="15.75" hidden="false" customHeight="true" outlineLevel="0" collapsed="false">
      <c r="A301" s="77"/>
      <c r="B301" s="77"/>
      <c r="C301" s="77"/>
      <c r="D301" s="77"/>
      <c r="E301" s="77"/>
      <c r="F301" s="77"/>
      <c r="G301" s="77"/>
      <c r="H301" s="77"/>
    </row>
    <row r="302" customFormat="false" ht="15.75" hidden="false" customHeight="true" outlineLevel="0" collapsed="false">
      <c r="A302" s="77"/>
      <c r="B302" s="77"/>
      <c r="C302" s="77"/>
      <c r="D302" s="77"/>
      <c r="E302" s="77"/>
      <c r="F302" s="77"/>
      <c r="G302" s="77"/>
      <c r="H302" s="77"/>
    </row>
    <row r="303" customFormat="false" ht="15.75" hidden="false" customHeight="true" outlineLevel="0" collapsed="false">
      <c r="A303" s="77"/>
      <c r="B303" s="77"/>
      <c r="C303" s="77"/>
      <c r="D303" s="77"/>
      <c r="E303" s="77"/>
      <c r="F303" s="77"/>
      <c r="G303" s="77"/>
      <c r="H303" s="77"/>
    </row>
    <row r="304" customFormat="false" ht="15.75" hidden="false" customHeight="true" outlineLevel="0" collapsed="false">
      <c r="A304" s="77"/>
      <c r="B304" s="77"/>
      <c r="C304" s="77"/>
      <c r="D304" s="77"/>
      <c r="E304" s="77"/>
      <c r="F304" s="77"/>
      <c r="G304" s="77"/>
      <c r="H304" s="77"/>
    </row>
    <row r="305" customFormat="false" ht="15.75" hidden="false" customHeight="true" outlineLevel="0" collapsed="false">
      <c r="A305" s="77"/>
      <c r="B305" s="77"/>
      <c r="C305" s="77"/>
      <c r="D305" s="77"/>
      <c r="E305" s="77"/>
      <c r="F305" s="77"/>
      <c r="G305" s="77"/>
      <c r="H305" s="77"/>
    </row>
    <row r="306" customFormat="false" ht="15.75" hidden="false" customHeight="true" outlineLevel="0" collapsed="false">
      <c r="A306" s="77"/>
      <c r="B306" s="77"/>
      <c r="C306" s="77"/>
      <c r="D306" s="77"/>
      <c r="E306" s="77"/>
      <c r="F306" s="77"/>
      <c r="G306" s="77"/>
      <c r="H306" s="77"/>
    </row>
    <row r="307" customFormat="false" ht="15.75" hidden="false" customHeight="true" outlineLevel="0" collapsed="false">
      <c r="A307" s="77"/>
      <c r="B307" s="77"/>
      <c r="C307" s="77"/>
      <c r="D307" s="77"/>
      <c r="E307" s="77"/>
      <c r="F307" s="77"/>
      <c r="G307" s="77"/>
      <c r="H307" s="77"/>
    </row>
    <row r="308" customFormat="false" ht="15.75" hidden="false" customHeight="true" outlineLevel="0" collapsed="false">
      <c r="A308" s="77"/>
      <c r="B308" s="77"/>
      <c r="C308" s="77"/>
      <c r="D308" s="77"/>
      <c r="E308" s="77"/>
      <c r="F308" s="77"/>
      <c r="G308" s="77"/>
      <c r="H308" s="77"/>
    </row>
    <row r="309" customFormat="false" ht="15.75" hidden="false" customHeight="true" outlineLevel="0" collapsed="false">
      <c r="A309" s="77"/>
      <c r="B309" s="77"/>
      <c r="C309" s="77"/>
      <c r="D309" s="77"/>
      <c r="E309" s="77"/>
      <c r="F309" s="77"/>
      <c r="G309" s="77"/>
      <c r="H309" s="77"/>
    </row>
    <row r="310" customFormat="false" ht="15.75" hidden="false" customHeight="true" outlineLevel="0" collapsed="false">
      <c r="A310" s="77"/>
      <c r="B310" s="77"/>
      <c r="C310" s="77"/>
      <c r="D310" s="77"/>
      <c r="E310" s="77"/>
      <c r="F310" s="77"/>
      <c r="G310" s="77"/>
      <c r="H310" s="77"/>
    </row>
    <row r="311" customFormat="false" ht="15.75" hidden="false" customHeight="true" outlineLevel="0" collapsed="false">
      <c r="A311" s="77"/>
      <c r="B311" s="77"/>
      <c r="C311" s="77"/>
      <c r="D311" s="77"/>
      <c r="E311" s="77"/>
      <c r="F311" s="77"/>
      <c r="G311" s="77"/>
      <c r="H311" s="77"/>
    </row>
    <row r="312" customFormat="false" ht="15.75" hidden="false" customHeight="true" outlineLevel="0" collapsed="false">
      <c r="A312" s="77"/>
      <c r="B312" s="77"/>
      <c r="C312" s="77"/>
      <c r="D312" s="77"/>
      <c r="E312" s="77"/>
      <c r="F312" s="77"/>
      <c r="G312" s="77"/>
      <c r="H312" s="77"/>
    </row>
    <row r="313" customFormat="false" ht="15.75" hidden="false" customHeight="true" outlineLevel="0" collapsed="false">
      <c r="A313" s="77"/>
      <c r="B313" s="77"/>
      <c r="C313" s="77"/>
      <c r="D313" s="77"/>
      <c r="E313" s="77"/>
      <c r="F313" s="77"/>
      <c r="G313" s="77"/>
      <c r="H313" s="77"/>
    </row>
    <row r="314" customFormat="false" ht="15.75" hidden="false" customHeight="true" outlineLevel="0" collapsed="false">
      <c r="A314" s="77"/>
      <c r="B314" s="77"/>
      <c r="C314" s="77"/>
      <c r="D314" s="77"/>
      <c r="E314" s="77"/>
      <c r="F314" s="77"/>
      <c r="G314" s="77"/>
      <c r="H314" s="77"/>
    </row>
    <row r="315" customFormat="false" ht="15.75" hidden="false" customHeight="true" outlineLevel="0" collapsed="false">
      <c r="A315" s="77"/>
      <c r="B315" s="77"/>
      <c r="C315" s="77"/>
      <c r="D315" s="77"/>
      <c r="E315" s="77"/>
      <c r="F315" s="77"/>
      <c r="G315" s="77"/>
      <c r="H315" s="77"/>
    </row>
    <row r="316" customFormat="false" ht="15.75" hidden="false" customHeight="true" outlineLevel="0" collapsed="false">
      <c r="A316" s="77"/>
      <c r="B316" s="77"/>
      <c r="C316" s="77"/>
      <c r="D316" s="77"/>
      <c r="E316" s="77"/>
      <c r="F316" s="77"/>
      <c r="G316" s="77"/>
      <c r="H316" s="77"/>
    </row>
    <row r="317" customFormat="false" ht="15.75" hidden="false" customHeight="true" outlineLevel="0" collapsed="false">
      <c r="A317" s="77"/>
      <c r="B317" s="77"/>
      <c r="C317" s="77"/>
      <c r="D317" s="77"/>
      <c r="E317" s="77"/>
      <c r="F317" s="77"/>
      <c r="G317" s="77"/>
      <c r="H317" s="77"/>
    </row>
    <row r="318" customFormat="false" ht="15.75" hidden="false" customHeight="true" outlineLevel="0" collapsed="false">
      <c r="A318" s="77"/>
      <c r="B318" s="77"/>
      <c r="C318" s="77"/>
      <c r="D318" s="77"/>
      <c r="E318" s="77"/>
      <c r="F318" s="77"/>
      <c r="G318" s="77"/>
      <c r="H318" s="77"/>
    </row>
    <row r="319" customFormat="false" ht="15.75" hidden="false" customHeight="true" outlineLevel="0" collapsed="false">
      <c r="A319" s="77"/>
      <c r="B319" s="77"/>
      <c r="C319" s="77"/>
      <c r="D319" s="77"/>
      <c r="E319" s="77"/>
      <c r="F319" s="77"/>
      <c r="G319" s="77"/>
      <c r="H319" s="77"/>
    </row>
    <row r="320" customFormat="false" ht="15.75" hidden="false" customHeight="true" outlineLevel="0" collapsed="false">
      <c r="A320" s="77"/>
      <c r="B320" s="77"/>
      <c r="C320" s="77"/>
      <c r="D320" s="77"/>
      <c r="E320" s="77"/>
      <c r="F320" s="77"/>
      <c r="G320" s="77"/>
      <c r="H320" s="77"/>
    </row>
    <row r="321" customFormat="false" ht="15.75" hidden="false" customHeight="true" outlineLevel="0" collapsed="false">
      <c r="A321" s="77"/>
      <c r="B321" s="77"/>
      <c r="C321" s="77"/>
      <c r="D321" s="77"/>
      <c r="E321" s="77"/>
      <c r="F321" s="77"/>
      <c r="G321" s="77"/>
      <c r="H321" s="77"/>
    </row>
    <row r="322" customFormat="false" ht="15.75" hidden="false" customHeight="true" outlineLevel="0" collapsed="false">
      <c r="A322" s="77"/>
      <c r="B322" s="77"/>
      <c r="C322" s="77"/>
      <c r="D322" s="77"/>
      <c r="E322" s="77"/>
      <c r="F322" s="77"/>
      <c r="G322" s="77"/>
      <c r="H322" s="77"/>
    </row>
    <row r="323" customFormat="false" ht="15.75" hidden="false" customHeight="true" outlineLevel="0" collapsed="false">
      <c r="A323" s="77"/>
      <c r="B323" s="77"/>
      <c r="C323" s="77"/>
      <c r="D323" s="77"/>
      <c r="E323" s="77"/>
      <c r="F323" s="77"/>
      <c r="G323" s="77"/>
      <c r="H323" s="77"/>
    </row>
    <row r="324" customFormat="false" ht="15.75" hidden="false" customHeight="true" outlineLevel="0" collapsed="false">
      <c r="A324" s="77"/>
      <c r="B324" s="77"/>
      <c r="C324" s="77"/>
      <c r="D324" s="77"/>
      <c r="E324" s="77"/>
      <c r="F324" s="77"/>
      <c r="G324" s="77"/>
      <c r="H324" s="77"/>
    </row>
    <row r="325" customFormat="false" ht="15.75" hidden="false" customHeight="true" outlineLevel="0" collapsed="false">
      <c r="A325" s="77"/>
      <c r="B325" s="77"/>
      <c r="C325" s="77"/>
      <c r="D325" s="77"/>
      <c r="E325" s="77"/>
      <c r="F325" s="77"/>
      <c r="G325" s="77"/>
      <c r="H325" s="77"/>
    </row>
    <row r="326" customFormat="false" ht="15.75" hidden="false" customHeight="true" outlineLevel="0" collapsed="false">
      <c r="A326" s="77"/>
      <c r="B326" s="77"/>
      <c r="C326" s="77"/>
      <c r="D326" s="77"/>
      <c r="E326" s="77"/>
      <c r="F326" s="77"/>
      <c r="G326" s="77"/>
      <c r="H326" s="77"/>
    </row>
    <row r="327" customFormat="false" ht="15.75" hidden="false" customHeight="true" outlineLevel="0" collapsed="false">
      <c r="A327" s="77"/>
      <c r="B327" s="77"/>
      <c r="C327" s="77"/>
      <c r="D327" s="77"/>
      <c r="E327" s="77"/>
      <c r="F327" s="77"/>
      <c r="G327" s="77"/>
      <c r="H327" s="77"/>
    </row>
    <row r="328" customFormat="false" ht="15.75" hidden="false" customHeight="true" outlineLevel="0" collapsed="false">
      <c r="A328" s="77"/>
      <c r="B328" s="77"/>
      <c r="C328" s="77"/>
      <c r="D328" s="77"/>
      <c r="E328" s="77"/>
      <c r="F328" s="77"/>
      <c r="G328" s="77"/>
      <c r="H328" s="77"/>
    </row>
    <row r="329" customFormat="false" ht="15.75" hidden="false" customHeight="true" outlineLevel="0" collapsed="false">
      <c r="A329" s="77"/>
      <c r="B329" s="77"/>
      <c r="C329" s="77"/>
      <c r="D329" s="77"/>
      <c r="E329" s="77"/>
      <c r="F329" s="77"/>
      <c r="G329" s="77"/>
      <c r="H329" s="77"/>
    </row>
    <row r="330" customFormat="false" ht="15.75" hidden="false" customHeight="true" outlineLevel="0" collapsed="false">
      <c r="A330" s="77"/>
      <c r="B330" s="77"/>
      <c r="C330" s="77"/>
      <c r="D330" s="77"/>
      <c r="E330" s="77"/>
      <c r="F330" s="77"/>
      <c r="G330" s="77"/>
      <c r="H330" s="77"/>
    </row>
    <row r="331" customFormat="false" ht="15.75" hidden="false" customHeight="true" outlineLevel="0" collapsed="false">
      <c r="A331" s="77"/>
      <c r="B331" s="77"/>
      <c r="C331" s="77"/>
      <c r="D331" s="77"/>
      <c r="E331" s="77"/>
      <c r="F331" s="77"/>
      <c r="G331" s="77"/>
      <c r="H331" s="77"/>
    </row>
    <row r="332" customFormat="false" ht="15.75" hidden="false" customHeight="true" outlineLevel="0" collapsed="false">
      <c r="A332" s="77"/>
      <c r="B332" s="77"/>
      <c r="C332" s="77"/>
      <c r="D332" s="77"/>
      <c r="E332" s="77"/>
      <c r="F332" s="77"/>
      <c r="G332" s="77"/>
      <c r="H332" s="77"/>
    </row>
    <row r="333" customFormat="false" ht="15.75" hidden="false" customHeight="true" outlineLevel="0" collapsed="false">
      <c r="A333" s="77"/>
      <c r="B333" s="77"/>
      <c r="C333" s="77"/>
      <c r="D333" s="77"/>
      <c r="E333" s="77"/>
      <c r="F333" s="77"/>
      <c r="G333" s="77"/>
      <c r="H333" s="77"/>
    </row>
    <row r="334" customFormat="false" ht="15.75" hidden="false" customHeight="true" outlineLevel="0" collapsed="false">
      <c r="A334" s="77"/>
      <c r="B334" s="77"/>
      <c r="C334" s="77"/>
      <c r="D334" s="77"/>
      <c r="E334" s="77"/>
      <c r="F334" s="77"/>
      <c r="G334" s="77"/>
      <c r="H334" s="77"/>
    </row>
    <row r="335" customFormat="false" ht="15.75" hidden="false" customHeight="true" outlineLevel="0" collapsed="false">
      <c r="A335" s="77"/>
      <c r="B335" s="77"/>
      <c r="C335" s="77"/>
      <c r="D335" s="77"/>
      <c r="E335" s="77"/>
      <c r="F335" s="77"/>
      <c r="G335" s="77"/>
      <c r="H335" s="77"/>
    </row>
    <row r="336" customFormat="false" ht="15.75" hidden="false" customHeight="true" outlineLevel="0" collapsed="false">
      <c r="A336" s="77"/>
      <c r="B336" s="77"/>
      <c r="C336" s="77"/>
      <c r="D336" s="77"/>
      <c r="E336" s="77"/>
      <c r="F336" s="77"/>
      <c r="G336" s="77"/>
      <c r="H336" s="77"/>
    </row>
    <row r="337" customFormat="false" ht="15.75" hidden="false" customHeight="true" outlineLevel="0" collapsed="false">
      <c r="A337" s="77"/>
      <c r="B337" s="77"/>
      <c r="C337" s="77"/>
      <c r="D337" s="77"/>
      <c r="E337" s="77"/>
      <c r="F337" s="77"/>
      <c r="G337" s="77"/>
      <c r="H337" s="77"/>
    </row>
    <row r="338" customFormat="false" ht="15.75" hidden="false" customHeight="true" outlineLevel="0" collapsed="false">
      <c r="A338" s="77"/>
      <c r="B338" s="77"/>
      <c r="C338" s="77"/>
      <c r="D338" s="77"/>
      <c r="E338" s="77"/>
      <c r="F338" s="77"/>
      <c r="G338" s="77"/>
      <c r="H338" s="77"/>
    </row>
    <row r="339" customFormat="false" ht="15.75" hidden="false" customHeight="true" outlineLevel="0" collapsed="false">
      <c r="A339" s="77"/>
      <c r="B339" s="77"/>
      <c r="C339" s="77"/>
      <c r="D339" s="77"/>
      <c r="E339" s="77"/>
      <c r="F339" s="77"/>
      <c r="G339" s="77"/>
      <c r="H339" s="77"/>
    </row>
    <row r="340" customFormat="false" ht="15.75" hidden="false" customHeight="true" outlineLevel="0" collapsed="false">
      <c r="A340" s="77"/>
      <c r="B340" s="77"/>
      <c r="C340" s="77"/>
      <c r="D340" s="77"/>
      <c r="E340" s="77"/>
      <c r="F340" s="77"/>
      <c r="G340" s="77"/>
      <c r="H340" s="77"/>
    </row>
    <row r="341" customFormat="false" ht="15.75" hidden="false" customHeight="true" outlineLevel="0" collapsed="false">
      <c r="A341" s="77"/>
      <c r="B341" s="77"/>
      <c r="C341" s="77"/>
      <c r="D341" s="77"/>
      <c r="E341" s="77"/>
      <c r="F341" s="77"/>
      <c r="G341" s="77"/>
      <c r="H341" s="77"/>
    </row>
    <row r="342" customFormat="false" ht="15.75" hidden="false" customHeight="true" outlineLevel="0" collapsed="false">
      <c r="A342" s="77"/>
      <c r="B342" s="77"/>
      <c r="C342" s="77"/>
      <c r="D342" s="77"/>
      <c r="E342" s="77"/>
      <c r="F342" s="77"/>
      <c r="G342" s="77"/>
      <c r="H342" s="77"/>
    </row>
    <row r="343" customFormat="false" ht="15.75" hidden="false" customHeight="true" outlineLevel="0" collapsed="false">
      <c r="A343" s="77"/>
      <c r="B343" s="77"/>
      <c r="C343" s="77"/>
      <c r="D343" s="77"/>
      <c r="E343" s="77"/>
      <c r="F343" s="77"/>
      <c r="G343" s="77"/>
      <c r="H343" s="77"/>
    </row>
    <row r="344" customFormat="false" ht="15.75" hidden="false" customHeight="true" outlineLevel="0" collapsed="false">
      <c r="A344" s="77"/>
      <c r="B344" s="77"/>
      <c r="C344" s="77"/>
      <c r="D344" s="77"/>
      <c r="E344" s="77"/>
      <c r="F344" s="77"/>
      <c r="G344" s="77"/>
      <c r="H344" s="77"/>
    </row>
    <row r="345" customFormat="false" ht="15.75" hidden="false" customHeight="true" outlineLevel="0" collapsed="false">
      <c r="A345" s="77"/>
      <c r="B345" s="77"/>
      <c r="C345" s="77"/>
      <c r="D345" s="77"/>
      <c r="E345" s="77"/>
      <c r="F345" s="77"/>
      <c r="G345" s="77"/>
      <c r="H345" s="77"/>
    </row>
    <row r="346" customFormat="false" ht="15.75" hidden="false" customHeight="true" outlineLevel="0" collapsed="false">
      <c r="A346" s="77"/>
      <c r="B346" s="77"/>
      <c r="C346" s="77"/>
      <c r="D346" s="77"/>
      <c r="E346" s="77"/>
      <c r="F346" s="77"/>
      <c r="G346" s="77"/>
      <c r="H346" s="77"/>
    </row>
    <row r="347" customFormat="false" ht="15.75" hidden="false" customHeight="true" outlineLevel="0" collapsed="false">
      <c r="A347" s="77"/>
      <c r="B347" s="77"/>
      <c r="C347" s="77"/>
      <c r="D347" s="77"/>
      <c r="E347" s="77"/>
      <c r="F347" s="77"/>
      <c r="G347" s="77"/>
      <c r="H347" s="77"/>
    </row>
    <row r="348" customFormat="false" ht="15.75" hidden="false" customHeight="true" outlineLevel="0" collapsed="false">
      <c r="A348" s="77"/>
      <c r="B348" s="77"/>
      <c r="C348" s="77"/>
      <c r="D348" s="77"/>
      <c r="E348" s="77"/>
      <c r="F348" s="77"/>
      <c r="G348" s="77"/>
      <c r="H348" s="77"/>
    </row>
    <row r="349" customFormat="false" ht="15.75" hidden="false" customHeight="true" outlineLevel="0" collapsed="false">
      <c r="A349" s="77"/>
      <c r="B349" s="77"/>
      <c r="C349" s="77"/>
      <c r="D349" s="77"/>
      <c r="E349" s="77"/>
      <c r="F349" s="77"/>
      <c r="G349" s="77"/>
      <c r="H349" s="77"/>
    </row>
    <row r="350" customFormat="false" ht="15.75" hidden="false" customHeight="true" outlineLevel="0" collapsed="false">
      <c r="A350" s="77"/>
      <c r="B350" s="77"/>
      <c r="C350" s="77"/>
      <c r="D350" s="77"/>
      <c r="E350" s="77"/>
      <c r="F350" s="77"/>
      <c r="G350" s="77"/>
      <c r="H350" s="77"/>
    </row>
    <row r="351" customFormat="false" ht="15.75" hidden="false" customHeight="true" outlineLevel="0" collapsed="false">
      <c r="A351" s="77"/>
      <c r="B351" s="77"/>
      <c r="C351" s="77"/>
      <c r="D351" s="77"/>
      <c r="E351" s="77"/>
      <c r="F351" s="77"/>
      <c r="G351" s="77"/>
      <c r="H351" s="77"/>
    </row>
    <row r="352" customFormat="false" ht="15.75" hidden="false" customHeight="true" outlineLevel="0" collapsed="false">
      <c r="A352" s="77"/>
      <c r="B352" s="77"/>
      <c r="C352" s="77"/>
      <c r="D352" s="77"/>
      <c r="E352" s="77"/>
      <c r="F352" s="77"/>
      <c r="G352" s="77"/>
      <c r="H352" s="77"/>
    </row>
    <row r="353" customFormat="false" ht="15.75" hidden="false" customHeight="true" outlineLevel="0" collapsed="false">
      <c r="A353" s="77"/>
      <c r="B353" s="77"/>
      <c r="C353" s="77"/>
      <c r="D353" s="77"/>
      <c r="E353" s="77"/>
      <c r="F353" s="77"/>
      <c r="G353" s="77"/>
      <c r="H353" s="77"/>
    </row>
    <row r="354" customFormat="false" ht="15.75" hidden="false" customHeight="true" outlineLevel="0" collapsed="false">
      <c r="A354" s="77"/>
      <c r="B354" s="77"/>
      <c r="C354" s="77"/>
      <c r="D354" s="77"/>
      <c r="E354" s="77"/>
      <c r="F354" s="77"/>
      <c r="G354" s="77"/>
      <c r="H354" s="77"/>
    </row>
    <row r="355" customFormat="false" ht="15.75" hidden="false" customHeight="true" outlineLevel="0" collapsed="false">
      <c r="A355" s="77"/>
      <c r="B355" s="77"/>
      <c r="C355" s="77"/>
      <c r="D355" s="77"/>
      <c r="E355" s="77"/>
      <c r="F355" s="77"/>
      <c r="G355" s="77"/>
      <c r="H355" s="77"/>
    </row>
    <row r="356" customFormat="false" ht="15.75" hidden="false" customHeight="true" outlineLevel="0" collapsed="false">
      <c r="A356" s="77"/>
      <c r="B356" s="77"/>
      <c r="C356" s="77"/>
      <c r="D356" s="77"/>
      <c r="E356" s="77"/>
      <c r="F356" s="77"/>
      <c r="G356" s="77"/>
      <c r="H356" s="77"/>
    </row>
    <row r="357" customFormat="false" ht="15.75" hidden="false" customHeight="true" outlineLevel="0" collapsed="false">
      <c r="A357" s="77"/>
      <c r="B357" s="77"/>
      <c r="C357" s="77"/>
      <c r="D357" s="77"/>
      <c r="E357" s="77"/>
      <c r="F357" s="77"/>
      <c r="G357" s="77"/>
      <c r="H357" s="77"/>
    </row>
    <row r="358" customFormat="false" ht="15.75" hidden="false" customHeight="true" outlineLevel="0" collapsed="false">
      <c r="A358" s="77"/>
      <c r="B358" s="77"/>
      <c r="C358" s="77"/>
      <c r="D358" s="77"/>
      <c r="E358" s="77"/>
      <c r="F358" s="77"/>
      <c r="G358" s="77"/>
      <c r="H358" s="77"/>
    </row>
    <row r="359" customFormat="false" ht="15.75" hidden="false" customHeight="true" outlineLevel="0" collapsed="false">
      <c r="A359" s="77"/>
      <c r="B359" s="77"/>
      <c r="C359" s="77"/>
      <c r="D359" s="77"/>
      <c r="E359" s="77"/>
      <c r="F359" s="77"/>
      <c r="G359" s="77"/>
      <c r="H359" s="77"/>
    </row>
    <row r="360" customFormat="false" ht="15.75" hidden="false" customHeight="true" outlineLevel="0" collapsed="false">
      <c r="A360" s="77"/>
      <c r="B360" s="77"/>
      <c r="C360" s="77"/>
      <c r="D360" s="77"/>
      <c r="E360" s="77"/>
      <c r="F360" s="77"/>
      <c r="G360" s="77"/>
      <c r="H360" s="77"/>
    </row>
    <row r="361" customFormat="false" ht="15.75" hidden="false" customHeight="true" outlineLevel="0" collapsed="false">
      <c r="A361" s="77"/>
      <c r="B361" s="77"/>
      <c r="C361" s="77"/>
      <c r="D361" s="77"/>
      <c r="E361" s="77"/>
      <c r="F361" s="77"/>
      <c r="G361" s="77"/>
      <c r="H361" s="77"/>
    </row>
    <row r="362" customFormat="false" ht="15.75" hidden="false" customHeight="true" outlineLevel="0" collapsed="false">
      <c r="A362" s="77"/>
      <c r="B362" s="77"/>
      <c r="C362" s="77"/>
      <c r="D362" s="77"/>
      <c r="E362" s="77"/>
      <c r="F362" s="77"/>
      <c r="G362" s="77"/>
      <c r="H362" s="77"/>
    </row>
    <row r="363" customFormat="false" ht="15.75" hidden="false" customHeight="true" outlineLevel="0" collapsed="false">
      <c r="A363" s="77"/>
      <c r="B363" s="77"/>
      <c r="C363" s="77"/>
      <c r="D363" s="77"/>
      <c r="E363" s="77"/>
      <c r="F363" s="77"/>
      <c r="G363" s="77"/>
      <c r="H363" s="77"/>
    </row>
    <row r="364" customFormat="false" ht="15.75" hidden="false" customHeight="true" outlineLevel="0" collapsed="false">
      <c r="A364" s="77"/>
      <c r="B364" s="77"/>
      <c r="C364" s="77"/>
      <c r="D364" s="77"/>
      <c r="E364" s="77"/>
      <c r="F364" s="77"/>
      <c r="G364" s="77"/>
      <c r="H364" s="77"/>
    </row>
    <row r="365" customFormat="false" ht="15.75" hidden="false" customHeight="true" outlineLevel="0" collapsed="false">
      <c r="A365" s="77"/>
      <c r="B365" s="77"/>
      <c r="C365" s="77"/>
      <c r="D365" s="77"/>
      <c r="E365" s="77"/>
      <c r="F365" s="77"/>
      <c r="G365" s="77"/>
      <c r="H365" s="77"/>
    </row>
    <row r="366" customFormat="false" ht="15.75" hidden="false" customHeight="true" outlineLevel="0" collapsed="false">
      <c r="A366" s="77"/>
      <c r="B366" s="77"/>
      <c r="C366" s="77"/>
      <c r="D366" s="77"/>
      <c r="E366" s="77"/>
      <c r="F366" s="77"/>
      <c r="G366" s="77"/>
      <c r="H366" s="77"/>
    </row>
    <row r="367" customFormat="false" ht="15.75" hidden="false" customHeight="true" outlineLevel="0" collapsed="false">
      <c r="A367" s="77"/>
      <c r="B367" s="77"/>
      <c r="C367" s="77"/>
      <c r="D367" s="77"/>
      <c r="E367" s="77"/>
      <c r="F367" s="77"/>
      <c r="G367" s="77"/>
      <c r="H367" s="77"/>
    </row>
    <row r="368" customFormat="false" ht="15.75" hidden="false" customHeight="true" outlineLevel="0" collapsed="false">
      <c r="A368" s="77"/>
      <c r="B368" s="77"/>
      <c r="C368" s="77"/>
      <c r="D368" s="77"/>
      <c r="E368" s="77"/>
      <c r="F368" s="77"/>
      <c r="G368" s="77"/>
      <c r="H368" s="77"/>
    </row>
    <row r="369" customFormat="false" ht="15.75" hidden="false" customHeight="true" outlineLevel="0" collapsed="false">
      <c r="A369" s="77"/>
      <c r="B369" s="77"/>
      <c r="C369" s="77"/>
      <c r="D369" s="77"/>
      <c r="E369" s="77"/>
      <c r="F369" s="77"/>
      <c r="G369" s="77"/>
      <c r="H369" s="77"/>
    </row>
    <row r="370" customFormat="false" ht="15.75" hidden="false" customHeight="true" outlineLevel="0" collapsed="false">
      <c r="A370" s="77"/>
      <c r="B370" s="77"/>
      <c r="C370" s="77"/>
      <c r="D370" s="77"/>
      <c r="E370" s="77"/>
      <c r="F370" s="77"/>
      <c r="G370" s="77"/>
      <c r="H370" s="77"/>
    </row>
    <row r="371" customFormat="false" ht="15.75" hidden="false" customHeight="true" outlineLevel="0" collapsed="false">
      <c r="A371" s="77"/>
      <c r="B371" s="77"/>
      <c r="C371" s="77"/>
      <c r="D371" s="77"/>
      <c r="E371" s="77"/>
      <c r="F371" s="77"/>
      <c r="G371" s="77"/>
      <c r="H371" s="77"/>
    </row>
    <row r="372" customFormat="false" ht="15.75" hidden="false" customHeight="true" outlineLevel="0" collapsed="false">
      <c r="A372" s="77"/>
      <c r="B372" s="77"/>
      <c r="C372" s="77"/>
      <c r="D372" s="77"/>
      <c r="E372" s="77"/>
      <c r="F372" s="77"/>
      <c r="G372" s="77"/>
      <c r="H372" s="77"/>
    </row>
    <row r="373" customFormat="false" ht="15.75" hidden="false" customHeight="true" outlineLevel="0" collapsed="false">
      <c r="A373" s="77"/>
      <c r="B373" s="77"/>
      <c r="C373" s="77"/>
      <c r="D373" s="77"/>
      <c r="E373" s="77"/>
      <c r="F373" s="77"/>
      <c r="G373" s="77"/>
      <c r="H373" s="77"/>
    </row>
    <row r="374" customFormat="false" ht="15.75" hidden="false" customHeight="true" outlineLevel="0" collapsed="false">
      <c r="A374" s="77"/>
      <c r="B374" s="77"/>
      <c r="C374" s="77"/>
      <c r="D374" s="77"/>
      <c r="E374" s="77"/>
      <c r="F374" s="77"/>
      <c r="G374" s="77"/>
      <c r="H374" s="77"/>
    </row>
    <row r="375" customFormat="false" ht="15.75" hidden="false" customHeight="true" outlineLevel="0" collapsed="false">
      <c r="A375" s="77"/>
      <c r="B375" s="77"/>
      <c r="C375" s="77"/>
      <c r="D375" s="77"/>
      <c r="E375" s="77"/>
      <c r="F375" s="77"/>
      <c r="G375" s="77"/>
      <c r="H375" s="77"/>
    </row>
    <row r="376" customFormat="false" ht="15.75" hidden="false" customHeight="true" outlineLevel="0" collapsed="false">
      <c r="A376" s="77"/>
      <c r="B376" s="77"/>
      <c r="C376" s="77"/>
      <c r="D376" s="77"/>
      <c r="E376" s="77"/>
      <c r="F376" s="77"/>
      <c r="G376" s="77"/>
      <c r="H376" s="77"/>
    </row>
    <row r="377" customFormat="false" ht="15.75" hidden="false" customHeight="true" outlineLevel="0" collapsed="false">
      <c r="A377" s="77"/>
      <c r="B377" s="77"/>
      <c r="C377" s="77"/>
      <c r="D377" s="77"/>
      <c r="E377" s="77"/>
      <c r="F377" s="77"/>
      <c r="G377" s="77"/>
      <c r="H377" s="77"/>
    </row>
    <row r="378" customFormat="false" ht="15.75" hidden="false" customHeight="true" outlineLevel="0" collapsed="false">
      <c r="A378" s="77"/>
      <c r="B378" s="77"/>
      <c r="C378" s="77"/>
      <c r="D378" s="77"/>
      <c r="E378" s="77"/>
      <c r="F378" s="77"/>
      <c r="G378" s="77"/>
      <c r="H378" s="77"/>
    </row>
    <row r="379" customFormat="false" ht="15.75" hidden="false" customHeight="true" outlineLevel="0" collapsed="false">
      <c r="A379" s="77"/>
      <c r="B379" s="77"/>
      <c r="C379" s="77"/>
      <c r="D379" s="77"/>
      <c r="E379" s="77"/>
      <c r="F379" s="77"/>
      <c r="G379" s="77"/>
      <c r="H379" s="77"/>
    </row>
    <row r="380" customFormat="false" ht="15.75" hidden="false" customHeight="true" outlineLevel="0" collapsed="false">
      <c r="A380" s="77"/>
      <c r="B380" s="77"/>
      <c r="C380" s="77"/>
      <c r="D380" s="77"/>
      <c r="E380" s="77"/>
      <c r="F380" s="77"/>
      <c r="G380" s="77"/>
      <c r="H380" s="77"/>
    </row>
    <row r="381" customFormat="false" ht="15.75" hidden="false" customHeight="true" outlineLevel="0" collapsed="false">
      <c r="A381" s="77"/>
      <c r="B381" s="77"/>
      <c r="C381" s="77"/>
      <c r="D381" s="77"/>
      <c r="E381" s="77"/>
      <c r="F381" s="77"/>
      <c r="G381" s="77"/>
      <c r="H381" s="77"/>
    </row>
    <row r="382" customFormat="false" ht="15.75" hidden="false" customHeight="true" outlineLevel="0" collapsed="false">
      <c r="A382" s="77"/>
      <c r="B382" s="77"/>
      <c r="C382" s="77"/>
      <c r="D382" s="77"/>
      <c r="E382" s="77"/>
      <c r="F382" s="77"/>
      <c r="G382" s="77"/>
      <c r="H382" s="77"/>
    </row>
    <row r="383" customFormat="false" ht="15.75" hidden="false" customHeight="true" outlineLevel="0" collapsed="false">
      <c r="A383" s="77"/>
      <c r="B383" s="77"/>
      <c r="C383" s="77"/>
      <c r="D383" s="77"/>
      <c r="E383" s="77"/>
      <c r="F383" s="77"/>
      <c r="G383" s="77"/>
      <c r="H383" s="77"/>
    </row>
    <row r="384" customFormat="false" ht="15.75" hidden="false" customHeight="true" outlineLevel="0" collapsed="false">
      <c r="A384" s="77"/>
      <c r="B384" s="77"/>
      <c r="C384" s="77"/>
      <c r="D384" s="77"/>
      <c r="E384" s="77"/>
      <c r="F384" s="77"/>
      <c r="G384" s="77"/>
      <c r="H384" s="77"/>
    </row>
    <row r="385" customFormat="false" ht="15.75" hidden="false" customHeight="true" outlineLevel="0" collapsed="false">
      <c r="A385" s="77"/>
      <c r="B385" s="77"/>
      <c r="C385" s="77"/>
      <c r="D385" s="77"/>
      <c r="E385" s="77"/>
      <c r="F385" s="77"/>
      <c r="G385" s="77"/>
      <c r="H385" s="77"/>
    </row>
    <row r="386" customFormat="false" ht="15.75" hidden="false" customHeight="true" outlineLevel="0" collapsed="false">
      <c r="A386" s="77"/>
      <c r="B386" s="77"/>
      <c r="C386" s="77"/>
      <c r="D386" s="77"/>
      <c r="E386" s="77"/>
      <c r="F386" s="77"/>
      <c r="G386" s="77"/>
      <c r="H386" s="77"/>
    </row>
    <row r="387" customFormat="false" ht="15.75" hidden="false" customHeight="true" outlineLevel="0" collapsed="false">
      <c r="A387" s="77"/>
      <c r="B387" s="77"/>
      <c r="C387" s="77"/>
      <c r="D387" s="77"/>
      <c r="E387" s="77"/>
      <c r="F387" s="77"/>
      <c r="G387" s="77"/>
      <c r="H387" s="77"/>
    </row>
    <row r="388" customFormat="false" ht="15.75" hidden="false" customHeight="true" outlineLevel="0" collapsed="false">
      <c r="A388" s="77"/>
      <c r="B388" s="77"/>
      <c r="C388" s="77"/>
      <c r="D388" s="77"/>
      <c r="E388" s="77"/>
      <c r="F388" s="77"/>
      <c r="G388" s="77"/>
      <c r="H388" s="77"/>
    </row>
    <row r="389" customFormat="false" ht="15.75" hidden="false" customHeight="true" outlineLevel="0" collapsed="false">
      <c r="A389" s="77"/>
      <c r="B389" s="77"/>
      <c r="C389" s="77"/>
      <c r="D389" s="77"/>
      <c r="E389" s="77"/>
      <c r="F389" s="77"/>
      <c r="G389" s="77"/>
      <c r="H389" s="77"/>
    </row>
    <row r="390" customFormat="false" ht="15.75" hidden="false" customHeight="true" outlineLevel="0" collapsed="false">
      <c r="A390" s="77"/>
      <c r="B390" s="77"/>
      <c r="C390" s="77"/>
      <c r="D390" s="77"/>
      <c r="E390" s="77"/>
      <c r="F390" s="77"/>
      <c r="G390" s="77"/>
      <c r="H390" s="77"/>
    </row>
    <row r="391" customFormat="false" ht="15.75" hidden="false" customHeight="true" outlineLevel="0" collapsed="false">
      <c r="A391" s="77"/>
      <c r="B391" s="77"/>
      <c r="C391" s="77"/>
      <c r="D391" s="77"/>
      <c r="E391" s="77"/>
      <c r="F391" s="77"/>
      <c r="G391" s="77"/>
      <c r="H391" s="77"/>
    </row>
    <row r="392" customFormat="false" ht="15.75" hidden="false" customHeight="true" outlineLevel="0" collapsed="false">
      <c r="A392" s="77"/>
      <c r="B392" s="77"/>
      <c r="C392" s="77"/>
      <c r="D392" s="77"/>
      <c r="E392" s="77"/>
      <c r="F392" s="77"/>
      <c r="G392" s="77"/>
      <c r="H392" s="77"/>
    </row>
    <row r="393" customFormat="false" ht="15.75" hidden="false" customHeight="true" outlineLevel="0" collapsed="false">
      <c r="A393" s="77"/>
      <c r="B393" s="77"/>
      <c r="C393" s="77"/>
      <c r="D393" s="77"/>
      <c r="E393" s="77"/>
      <c r="F393" s="77"/>
      <c r="G393" s="77"/>
      <c r="H393" s="77"/>
    </row>
    <row r="394" customFormat="false" ht="15.75" hidden="false" customHeight="true" outlineLevel="0" collapsed="false">
      <c r="A394" s="77"/>
      <c r="B394" s="77"/>
      <c r="C394" s="77"/>
      <c r="D394" s="77"/>
      <c r="E394" s="77"/>
      <c r="F394" s="77"/>
      <c r="G394" s="77"/>
      <c r="H394" s="77"/>
    </row>
    <row r="395" customFormat="false" ht="15.75" hidden="false" customHeight="true" outlineLevel="0" collapsed="false">
      <c r="A395" s="77"/>
      <c r="B395" s="77"/>
      <c r="C395" s="77"/>
      <c r="D395" s="77"/>
      <c r="E395" s="77"/>
      <c r="F395" s="77"/>
      <c r="G395" s="77"/>
      <c r="H395" s="77"/>
    </row>
    <row r="396" customFormat="false" ht="15.75" hidden="false" customHeight="true" outlineLevel="0" collapsed="false">
      <c r="A396" s="77"/>
      <c r="B396" s="77"/>
      <c r="C396" s="77"/>
      <c r="D396" s="77"/>
      <c r="E396" s="77"/>
      <c r="F396" s="77"/>
      <c r="G396" s="77"/>
      <c r="H396" s="77"/>
    </row>
    <row r="397" customFormat="false" ht="15.75" hidden="false" customHeight="true" outlineLevel="0" collapsed="false">
      <c r="A397" s="77"/>
      <c r="B397" s="77"/>
      <c r="C397" s="77"/>
      <c r="D397" s="77"/>
      <c r="E397" s="77"/>
      <c r="F397" s="77"/>
      <c r="G397" s="77"/>
      <c r="H397" s="77"/>
    </row>
    <row r="398" customFormat="false" ht="15.75" hidden="false" customHeight="true" outlineLevel="0" collapsed="false">
      <c r="A398" s="77"/>
      <c r="B398" s="77"/>
      <c r="C398" s="77"/>
      <c r="D398" s="77"/>
      <c r="E398" s="77"/>
      <c r="F398" s="77"/>
      <c r="G398" s="77"/>
      <c r="H398" s="77"/>
    </row>
    <row r="399" customFormat="false" ht="15.75" hidden="false" customHeight="true" outlineLevel="0" collapsed="false">
      <c r="A399" s="77"/>
      <c r="B399" s="77"/>
      <c r="C399" s="77"/>
      <c r="D399" s="77"/>
      <c r="E399" s="77"/>
      <c r="F399" s="77"/>
      <c r="G399" s="77"/>
      <c r="H399" s="77"/>
    </row>
    <row r="400" customFormat="false" ht="15.75" hidden="false" customHeight="true" outlineLevel="0" collapsed="false">
      <c r="A400" s="77"/>
      <c r="B400" s="77"/>
      <c r="C400" s="77"/>
      <c r="D400" s="77"/>
      <c r="E400" s="77"/>
      <c r="F400" s="77"/>
      <c r="G400" s="77"/>
      <c r="H400" s="77"/>
    </row>
    <row r="401" customFormat="false" ht="15.75" hidden="false" customHeight="true" outlineLevel="0" collapsed="false">
      <c r="A401" s="77"/>
      <c r="B401" s="77"/>
      <c r="C401" s="77"/>
      <c r="D401" s="77"/>
      <c r="E401" s="77"/>
      <c r="F401" s="77"/>
      <c r="G401" s="77"/>
      <c r="H401" s="77"/>
    </row>
    <row r="402" customFormat="false" ht="15.75" hidden="false" customHeight="true" outlineLevel="0" collapsed="false">
      <c r="A402" s="77"/>
      <c r="B402" s="77"/>
      <c r="C402" s="77"/>
      <c r="D402" s="77"/>
      <c r="E402" s="77"/>
      <c r="F402" s="77"/>
      <c r="G402" s="77"/>
      <c r="H402" s="77"/>
    </row>
    <row r="403" customFormat="false" ht="15.75" hidden="false" customHeight="true" outlineLevel="0" collapsed="false">
      <c r="A403" s="77"/>
      <c r="B403" s="77"/>
      <c r="C403" s="77"/>
      <c r="D403" s="77"/>
      <c r="E403" s="77"/>
      <c r="F403" s="77"/>
      <c r="G403" s="77"/>
      <c r="H403" s="77"/>
    </row>
    <row r="404" customFormat="false" ht="15.75" hidden="false" customHeight="true" outlineLevel="0" collapsed="false">
      <c r="A404" s="77"/>
      <c r="B404" s="77"/>
      <c r="C404" s="77"/>
      <c r="D404" s="77"/>
      <c r="E404" s="77"/>
      <c r="F404" s="77"/>
      <c r="G404" s="77"/>
      <c r="H404" s="77"/>
    </row>
    <row r="405" customFormat="false" ht="15.75" hidden="false" customHeight="true" outlineLevel="0" collapsed="false">
      <c r="A405" s="77"/>
      <c r="B405" s="77"/>
      <c r="C405" s="77"/>
      <c r="D405" s="77"/>
      <c r="E405" s="77"/>
      <c r="F405" s="77"/>
      <c r="G405" s="77"/>
      <c r="H405" s="77"/>
    </row>
    <row r="406" customFormat="false" ht="15.75" hidden="false" customHeight="true" outlineLevel="0" collapsed="false">
      <c r="A406" s="77"/>
      <c r="B406" s="77"/>
      <c r="C406" s="77"/>
      <c r="D406" s="77"/>
      <c r="E406" s="77"/>
      <c r="F406" s="77"/>
      <c r="G406" s="77"/>
      <c r="H406" s="77"/>
    </row>
    <row r="407" customFormat="false" ht="15.75" hidden="false" customHeight="true" outlineLevel="0" collapsed="false">
      <c r="A407" s="77"/>
      <c r="B407" s="77"/>
      <c r="C407" s="77"/>
      <c r="D407" s="77"/>
      <c r="E407" s="77"/>
      <c r="F407" s="77"/>
      <c r="G407" s="77"/>
      <c r="H407" s="77"/>
    </row>
    <row r="408" customFormat="false" ht="15.75" hidden="false" customHeight="true" outlineLevel="0" collapsed="false">
      <c r="A408" s="77"/>
      <c r="B408" s="77"/>
      <c r="C408" s="77"/>
      <c r="D408" s="77"/>
      <c r="E408" s="77"/>
      <c r="F408" s="77"/>
      <c r="G408" s="77"/>
      <c r="H408" s="77"/>
    </row>
    <row r="409" customFormat="false" ht="15.75" hidden="false" customHeight="true" outlineLevel="0" collapsed="false">
      <c r="A409" s="77"/>
      <c r="B409" s="77"/>
      <c r="C409" s="77"/>
      <c r="D409" s="77"/>
      <c r="E409" s="77"/>
      <c r="F409" s="77"/>
      <c r="G409" s="77"/>
      <c r="H409" s="77"/>
    </row>
    <row r="410" customFormat="false" ht="15.75" hidden="false" customHeight="true" outlineLevel="0" collapsed="false">
      <c r="A410" s="77"/>
      <c r="B410" s="77"/>
      <c r="C410" s="77"/>
      <c r="D410" s="77"/>
      <c r="E410" s="77"/>
      <c r="F410" s="77"/>
      <c r="G410" s="77"/>
      <c r="H410" s="77"/>
    </row>
    <row r="411" customFormat="false" ht="15.75" hidden="false" customHeight="true" outlineLevel="0" collapsed="false">
      <c r="A411" s="77"/>
      <c r="B411" s="77"/>
      <c r="C411" s="77"/>
      <c r="D411" s="77"/>
      <c r="E411" s="77"/>
      <c r="F411" s="77"/>
      <c r="G411" s="77"/>
      <c r="H411" s="77"/>
    </row>
    <row r="412" customFormat="false" ht="15.75" hidden="false" customHeight="true" outlineLevel="0" collapsed="false">
      <c r="A412" s="77"/>
      <c r="B412" s="77"/>
      <c r="C412" s="77"/>
      <c r="D412" s="77"/>
      <c r="E412" s="77"/>
      <c r="F412" s="77"/>
      <c r="G412" s="77"/>
      <c r="H412" s="77"/>
    </row>
    <row r="413" customFormat="false" ht="15.75" hidden="false" customHeight="true" outlineLevel="0" collapsed="false">
      <c r="A413" s="77"/>
      <c r="B413" s="77"/>
      <c r="C413" s="77"/>
      <c r="D413" s="77"/>
      <c r="E413" s="77"/>
      <c r="F413" s="77"/>
      <c r="G413" s="77"/>
      <c r="H413" s="77"/>
    </row>
    <row r="414" customFormat="false" ht="15.75" hidden="false" customHeight="true" outlineLevel="0" collapsed="false">
      <c r="A414" s="77"/>
      <c r="B414" s="77"/>
      <c r="C414" s="77"/>
      <c r="D414" s="77"/>
      <c r="E414" s="77"/>
      <c r="F414" s="77"/>
      <c r="G414" s="77"/>
      <c r="H414" s="77"/>
    </row>
    <row r="415" customFormat="false" ht="15.75" hidden="false" customHeight="true" outlineLevel="0" collapsed="false">
      <c r="A415" s="77"/>
      <c r="B415" s="77"/>
      <c r="C415" s="77"/>
      <c r="D415" s="77"/>
      <c r="E415" s="77"/>
      <c r="F415" s="77"/>
      <c r="G415" s="77"/>
      <c r="H415" s="77"/>
    </row>
    <row r="416" customFormat="false" ht="15.75" hidden="false" customHeight="true" outlineLevel="0" collapsed="false">
      <c r="A416" s="77"/>
      <c r="B416" s="77"/>
      <c r="C416" s="77"/>
      <c r="D416" s="77"/>
      <c r="E416" s="77"/>
      <c r="F416" s="77"/>
      <c r="G416" s="77"/>
      <c r="H416" s="77"/>
    </row>
    <row r="417" customFormat="false" ht="15.75" hidden="false" customHeight="true" outlineLevel="0" collapsed="false">
      <c r="A417" s="77"/>
      <c r="B417" s="77"/>
      <c r="C417" s="77"/>
      <c r="D417" s="77"/>
      <c r="E417" s="77"/>
      <c r="F417" s="77"/>
      <c r="G417" s="77"/>
      <c r="H417" s="77"/>
    </row>
    <row r="418" customFormat="false" ht="15.75" hidden="false" customHeight="true" outlineLevel="0" collapsed="false">
      <c r="A418" s="77"/>
      <c r="B418" s="77"/>
      <c r="C418" s="77"/>
      <c r="D418" s="77"/>
      <c r="E418" s="77"/>
      <c r="F418" s="77"/>
      <c r="G418" s="77"/>
      <c r="H418" s="77"/>
    </row>
    <row r="419" customFormat="false" ht="15.75" hidden="false" customHeight="true" outlineLevel="0" collapsed="false">
      <c r="A419" s="77"/>
      <c r="B419" s="77"/>
      <c r="C419" s="77"/>
      <c r="D419" s="77"/>
      <c r="E419" s="77"/>
      <c r="F419" s="77"/>
      <c r="G419" s="77"/>
      <c r="H419" s="77"/>
    </row>
    <row r="420" customFormat="false" ht="15.75" hidden="false" customHeight="true" outlineLevel="0" collapsed="false">
      <c r="A420" s="77"/>
      <c r="B420" s="77"/>
      <c r="C420" s="77"/>
      <c r="D420" s="77"/>
      <c r="E420" s="77"/>
      <c r="F420" s="77"/>
      <c r="G420" s="77"/>
      <c r="H420" s="77"/>
    </row>
    <row r="421" customFormat="false" ht="15.75" hidden="false" customHeight="true" outlineLevel="0" collapsed="false">
      <c r="A421" s="77"/>
      <c r="B421" s="77"/>
      <c r="C421" s="77"/>
      <c r="D421" s="77"/>
      <c r="E421" s="77"/>
      <c r="F421" s="77"/>
      <c r="G421" s="77"/>
      <c r="H421" s="77"/>
    </row>
    <row r="422" customFormat="false" ht="15.75" hidden="false" customHeight="true" outlineLevel="0" collapsed="false">
      <c r="A422" s="77"/>
      <c r="B422" s="77"/>
      <c r="C422" s="77"/>
      <c r="D422" s="77"/>
      <c r="E422" s="77"/>
      <c r="F422" s="77"/>
      <c r="G422" s="77"/>
      <c r="H422" s="77"/>
    </row>
    <row r="423" customFormat="false" ht="15.75" hidden="false" customHeight="true" outlineLevel="0" collapsed="false">
      <c r="A423" s="77"/>
      <c r="B423" s="77"/>
      <c r="C423" s="77"/>
      <c r="D423" s="77"/>
      <c r="E423" s="77"/>
      <c r="F423" s="77"/>
      <c r="G423" s="77"/>
      <c r="H423" s="77"/>
    </row>
    <row r="424" customFormat="false" ht="15.75" hidden="false" customHeight="true" outlineLevel="0" collapsed="false">
      <c r="A424" s="77"/>
      <c r="B424" s="77"/>
      <c r="C424" s="77"/>
      <c r="D424" s="77"/>
      <c r="E424" s="77"/>
      <c r="F424" s="77"/>
      <c r="G424" s="77"/>
      <c r="H424" s="77"/>
    </row>
    <row r="425" customFormat="false" ht="15.75" hidden="false" customHeight="true" outlineLevel="0" collapsed="false">
      <c r="A425" s="77"/>
      <c r="B425" s="77"/>
      <c r="C425" s="77"/>
      <c r="D425" s="77"/>
      <c r="E425" s="77"/>
      <c r="F425" s="77"/>
      <c r="G425" s="77"/>
      <c r="H425" s="77"/>
    </row>
    <row r="426" customFormat="false" ht="15.75" hidden="false" customHeight="true" outlineLevel="0" collapsed="false">
      <c r="A426" s="77"/>
      <c r="B426" s="77"/>
      <c r="C426" s="77"/>
      <c r="D426" s="77"/>
      <c r="E426" s="77"/>
      <c r="F426" s="77"/>
      <c r="G426" s="77"/>
      <c r="H426" s="77"/>
    </row>
    <row r="427" customFormat="false" ht="15.75" hidden="false" customHeight="true" outlineLevel="0" collapsed="false">
      <c r="A427" s="77"/>
      <c r="B427" s="77"/>
      <c r="C427" s="77"/>
      <c r="D427" s="77"/>
      <c r="E427" s="77"/>
      <c r="F427" s="77"/>
      <c r="G427" s="77"/>
      <c r="H427" s="77"/>
    </row>
    <row r="428" customFormat="false" ht="15.75" hidden="false" customHeight="true" outlineLevel="0" collapsed="false">
      <c r="A428" s="77"/>
      <c r="B428" s="77"/>
      <c r="C428" s="77"/>
      <c r="D428" s="77"/>
      <c r="E428" s="77"/>
      <c r="F428" s="77"/>
      <c r="G428" s="77"/>
      <c r="H428" s="77"/>
    </row>
    <row r="429" customFormat="false" ht="15.75" hidden="false" customHeight="true" outlineLevel="0" collapsed="false">
      <c r="A429" s="77"/>
      <c r="B429" s="77"/>
      <c r="C429" s="77"/>
      <c r="D429" s="77"/>
      <c r="E429" s="77"/>
      <c r="F429" s="77"/>
      <c r="G429" s="77"/>
      <c r="H429" s="77"/>
    </row>
    <row r="430" customFormat="false" ht="15.75" hidden="false" customHeight="true" outlineLevel="0" collapsed="false">
      <c r="A430" s="77"/>
      <c r="B430" s="77"/>
      <c r="C430" s="77"/>
      <c r="D430" s="77"/>
      <c r="E430" s="77"/>
      <c r="F430" s="77"/>
      <c r="G430" s="77"/>
      <c r="H430" s="77"/>
    </row>
    <row r="431" customFormat="false" ht="15.75" hidden="false" customHeight="true" outlineLevel="0" collapsed="false">
      <c r="A431" s="77"/>
      <c r="B431" s="77"/>
      <c r="C431" s="77"/>
      <c r="D431" s="77"/>
      <c r="E431" s="77"/>
      <c r="F431" s="77"/>
      <c r="G431" s="77"/>
      <c r="H431" s="77"/>
    </row>
    <row r="432" customFormat="false" ht="15.75" hidden="false" customHeight="true" outlineLevel="0" collapsed="false">
      <c r="A432" s="77"/>
      <c r="B432" s="77"/>
      <c r="C432" s="77"/>
      <c r="D432" s="77"/>
      <c r="E432" s="77"/>
      <c r="F432" s="77"/>
      <c r="G432" s="77"/>
      <c r="H432" s="77"/>
    </row>
    <row r="433" customFormat="false" ht="15.75" hidden="false" customHeight="true" outlineLevel="0" collapsed="false">
      <c r="A433" s="77"/>
      <c r="B433" s="77"/>
      <c r="C433" s="77"/>
      <c r="D433" s="77"/>
      <c r="E433" s="77"/>
      <c r="F433" s="77"/>
      <c r="G433" s="77"/>
      <c r="H433" s="77"/>
    </row>
    <row r="434" customFormat="false" ht="15.75" hidden="false" customHeight="true" outlineLevel="0" collapsed="false">
      <c r="A434" s="77"/>
      <c r="B434" s="77"/>
      <c r="C434" s="77"/>
      <c r="D434" s="77"/>
      <c r="E434" s="77"/>
      <c r="F434" s="77"/>
      <c r="G434" s="77"/>
      <c r="H434" s="77"/>
    </row>
    <row r="435" customFormat="false" ht="15.75" hidden="false" customHeight="true" outlineLevel="0" collapsed="false">
      <c r="A435" s="77"/>
      <c r="B435" s="77"/>
      <c r="C435" s="77"/>
      <c r="D435" s="77"/>
      <c r="E435" s="77"/>
      <c r="F435" s="77"/>
      <c r="G435" s="77"/>
      <c r="H435" s="77"/>
    </row>
    <row r="436" customFormat="false" ht="15.75" hidden="false" customHeight="true" outlineLevel="0" collapsed="false">
      <c r="A436" s="77"/>
      <c r="B436" s="77"/>
      <c r="C436" s="77"/>
      <c r="D436" s="77"/>
      <c r="E436" s="77"/>
      <c r="F436" s="77"/>
      <c r="G436" s="77"/>
      <c r="H436" s="77"/>
    </row>
    <row r="437" customFormat="false" ht="15.75" hidden="false" customHeight="true" outlineLevel="0" collapsed="false">
      <c r="A437" s="77"/>
      <c r="B437" s="77"/>
      <c r="C437" s="77"/>
      <c r="D437" s="77"/>
      <c r="E437" s="77"/>
      <c r="F437" s="77"/>
      <c r="G437" s="77"/>
      <c r="H437" s="77"/>
    </row>
    <row r="438" customFormat="false" ht="15.75" hidden="false" customHeight="true" outlineLevel="0" collapsed="false">
      <c r="A438" s="77"/>
      <c r="B438" s="77"/>
      <c r="C438" s="77"/>
      <c r="D438" s="77"/>
      <c r="E438" s="77"/>
      <c r="F438" s="77"/>
      <c r="G438" s="77"/>
      <c r="H438" s="77"/>
    </row>
    <row r="439" customFormat="false" ht="15.75" hidden="false" customHeight="true" outlineLevel="0" collapsed="false">
      <c r="A439" s="77"/>
      <c r="B439" s="77"/>
      <c r="C439" s="77"/>
      <c r="D439" s="77"/>
      <c r="E439" s="77"/>
      <c r="F439" s="77"/>
      <c r="G439" s="77"/>
      <c r="H439" s="77"/>
    </row>
    <row r="440" customFormat="false" ht="15.75" hidden="false" customHeight="true" outlineLevel="0" collapsed="false">
      <c r="A440" s="77"/>
      <c r="B440" s="77"/>
      <c r="C440" s="77"/>
      <c r="D440" s="77"/>
      <c r="E440" s="77"/>
      <c r="F440" s="77"/>
      <c r="G440" s="77"/>
      <c r="H440" s="77"/>
    </row>
    <row r="441" customFormat="false" ht="15.75" hidden="false" customHeight="true" outlineLevel="0" collapsed="false">
      <c r="A441" s="77"/>
      <c r="B441" s="77"/>
      <c r="C441" s="77"/>
      <c r="D441" s="77"/>
      <c r="E441" s="77"/>
      <c r="F441" s="77"/>
      <c r="G441" s="77"/>
      <c r="H441" s="77"/>
    </row>
    <row r="442" customFormat="false" ht="15.75" hidden="false" customHeight="true" outlineLevel="0" collapsed="false">
      <c r="A442" s="77"/>
      <c r="B442" s="77"/>
      <c r="C442" s="77"/>
      <c r="D442" s="77"/>
      <c r="E442" s="77"/>
      <c r="F442" s="77"/>
      <c r="G442" s="77"/>
      <c r="H442" s="77"/>
    </row>
    <row r="443" customFormat="false" ht="15.75" hidden="false" customHeight="true" outlineLevel="0" collapsed="false">
      <c r="A443" s="77"/>
      <c r="B443" s="77"/>
      <c r="C443" s="77"/>
      <c r="D443" s="77"/>
      <c r="E443" s="77"/>
      <c r="F443" s="77"/>
      <c r="G443" s="77"/>
      <c r="H443" s="77"/>
    </row>
    <row r="444" customFormat="false" ht="15.75" hidden="false" customHeight="true" outlineLevel="0" collapsed="false">
      <c r="A444" s="77"/>
      <c r="B444" s="77"/>
      <c r="C444" s="77"/>
      <c r="D444" s="77"/>
      <c r="E444" s="77"/>
      <c r="F444" s="77"/>
      <c r="G444" s="77"/>
      <c r="H444" s="77"/>
    </row>
    <row r="445" customFormat="false" ht="15.75" hidden="false" customHeight="true" outlineLevel="0" collapsed="false">
      <c r="A445" s="77"/>
      <c r="B445" s="77"/>
      <c r="C445" s="77"/>
      <c r="D445" s="77"/>
      <c r="E445" s="77"/>
      <c r="F445" s="77"/>
      <c r="G445" s="77"/>
      <c r="H445" s="77"/>
    </row>
    <row r="446" customFormat="false" ht="15.75" hidden="false" customHeight="true" outlineLevel="0" collapsed="false">
      <c r="A446" s="77"/>
      <c r="B446" s="77"/>
      <c r="C446" s="77"/>
      <c r="D446" s="77"/>
      <c r="E446" s="77"/>
      <c r="F446" s="77"/>
      <c r="G446" s="77"/>
      <c r="H446" s="77"/>
    </row>
    <row r="447" customFormat="false" ht="15.75" hidden="false" customHeight="true" outlineLevel="0" collapsed="false">
      <c r="A447" s="77"/>
      <c r="B447" s="77"/>
      <c r="C447" s="77"/>
      <c r="D447" s="77"/>
      <c r="E447" s="77"/>
      <c r="F447" s="77"/>
      <c r="G447" s="77"/>
      <c r="H447" s="77"/>
    </row>
    <row r="448" customFormat="false" ht="15.75" hidden="false" customHeight="true" outlineLevel="0" collapsed="false">
      <c r="A448" s="77"/>
      <c r="B448" s="77"/>
      <c r="C448" s="77"/>
      <c r="D448" s="77"/>
      <c r="E448" s="77"/>
      <c r="F448" s="77"/>
      <c r="G448" s="77"/>
      <c r="H448" s="77"/>
    </row>
    <row r="449" customFormat="false" ht="15.75" hidden="false" customHeight="true" outlineLevel="0" collapsed="false">
      <c r="A449" s="77"/>
      <c r="B449" s="77"/>
      <c r="C449" s="77"/>
      <c r="D449" s="77"/>
      <c r="E449" s="77"/>
      <c r="F449" s="77"/>
      <c r="G449" s="77"/>
      <c r="H449" s="77"/>
    </row>
    <row r="450" customFormat="false" ht="15.75" hidden="false" customHeight="true" outlineLevel="0" collapsed="false">
      <c r="A450" s="77"/>
      <c r="B450" s="77"/>
      <c r="C450" s="77"/>
      <c r="D450" s="77"/>
      <c r="E450" s="77"/>
      <c r="F450" s="77"/>
      <c r="G450" s="77"/>
      <c r="H450" s="77"/>
    </row>
    <row r="451" customFormat="false" ht="15.75" hidden="false" customHeight="true" outlineLevel="0" collapsed="false">
      <c r="A451" s="77"/>
      <c r="B451" s="77"/>
      <c r="C451" s="77"/>
      <c r="D451" s="77"/>
      <c r="E451" s="77"/>
      <c r="F451" s="77"/>
      <c r="G451" s="77"/>
      <c r="H451" s="77"/>
    </row>
    <row r="452" customFormat="false" ht="15.75" hidden="false" customHeight="true" outlineLevel="0" collapsed="false">
      <c r="A452" s="77"/>
      <c r="B452" s="77"/>
      <c r="C452" s="77"/>
      <c r="D452" s="77"/>
      <c r="E452" s="77"/>
      <c r="F452" s="77"/>
      <c r="G452" s="77"/>
      <c r="H452" s="77"/>
    </row>
    <row r="453" customFormat="false" ht="15.75" hidden="false" customHeight="true" outlineLevel="0" collapsed="false">
      <c r="A453" s="77"/>
      <c r="B453" s="77"/>
      <c r="C453" s="77"/>
      <c r="D453" s="77"/>
      <c r="E453" s="77"/>
      <c r="F453" s="77"/>
      <c r="G453" s="77"/>
      <c r="H453" s="77"/>
    </row>
    <row r="454" customFormat="false" ht="15.75" hidden="false" customHeight="true" outlineLevel="0" collapsed="false">
      <c r="A454" s="77"/>
      <c r="B454" s="77"/>
      <c r="C454" s="77"/>
      <c r="D454" s="77"/>
      <c r="E454" s="77"/>
      <c r="F454" s="77"/>
      <c r="G454" s="77"/>
      <c r="H454" s="77"/>
    </row>
    <row r="455" customFormat="false" ht="15.75" hidden="false" customHeight="true" outlineLevel="0" collapsed="false">
      <c r="A455" s="77"/>
      <c r="B455" s="77"/>
      <c r="C455" s="77"/>
      <c r="D455" s="77"/>
      <c r="E455" s="77"/>
      <c r="F455" s="77"/>
      <c r="G455" s="77"/>
      <c r="H455" s="77"/>
    </row>
    <row r="456" customFormat="false" ht="15.75" hidden="false" customHeight="true" outlineLevel="0" collapsed="false">
      <c r="A456" s="77"/>
      <c r="B456" s="77"/>
      <c r="C456" s="77"/>
      <c r="D456" s="77"/>
      <c r="E456" s="77"/>
      <c r="F456" s="77"/>
      <c r="G456" s="77"/>
      <c r="H456" s="77"/>
    </row>
    <row r="457" customFormat="false" ht="15.75" hidden="false" customHeight="true" outlineLevel="0" collapsed="false">
      <c r="A457" s="77"/>
      <c r="B457" s="77"/>
      <c r="C457" s="77"/>
      <c r="D457" s="77"/>
      <c r="E457" s="77"/>
      <c r="F457" s="77"/>
      <c r="G457" s="77"/>
      <c r="H457" s="77"/>
    </row>
    <row r="458" customFormat="false" ht="15.75" hidden="false" customHeight="true" outlineLevel="0" collapsed="false">
      <c r="A458" s="77"/>
      <c r="B458" s="77"/>
      <c r="C458" s="77"/>
      <c r="D458" s="77"/>
      <c r="E458" s="77"/>
      <c r="F458" s="77"/>
      <c r="G458" s="77"/>
      <c r="H458" s="77"/>
    </row>
    <row r="459" customFormat="false" ht="15.75" hidden="false" customHeight="true" outlineLevel="0" collapsed="false">
      <c r="A459" s="77"/>
      <c r="B459" s="77"/>
      <c r="C459" s="77"/>
      <c r="D459" s="77"/>
      <c r="E459" s="77"/>
      <c r="F459" s="77"/>
      <c r="G459" s="77"/>
      <c r="H459" s="77"/>
    </row>
    <row r="460" customFormat="false" ht="15.75" hidden="false" customHeight="true" outlineLevel="0" collapsed="false">
      <c r="A460" s="77"/>
      <c r="B460" s="77"/>
      <c r="C460" s="77"/>
      <c r="D460" s="77"/>
      <c r="E460" s="77"/>
      <c r="F460" s="77"/>
      <c r="G460" s="77"/>
      <c r="H460" s="77"/>
    </row>
    <row r="461" customFormat="false" ht="15.75" hidden="false" customHeight="true" outlineLevel="0" collapsed="false">
      <c r="A461" s="77"/>
      <c r="B461" s="77"/>
      <c r="C461" s="77"/>
      <c r="D461" s="77"/>
      <c r="E461" s="77"/>
      <c r="F461" s="77"/>
      <c r="G461" s="77"/>
      <c r="H461" s="77"/>
    </row>
    <row r="462" customFormat="false" ht="15.75" hidden="false" customHeight="true" outlineLevel="0" collapsed="false">
      <c r="A462" s="77"/>
      <c r="B462" s="77"/>
      <c r="C462" s="77"/>
      <c r="D462" s="77"/>
      <c r="E462" s="77"/>
      <c r="F462" s="77"/>
      <c r="G462" s="77"/>
      <c r="H462" s="77"/>
    </row>
    <row r="463" customFormat="false" ht="15.75" hidden="false" customHeight="true" outlineLevel="0" collapsed="false">
      <c r="A463" s="77"/>
      <c r="B463" s="77"/>
      <c r="C463" s="77"/>
      <c r="D463" s="77"/>
      <c r="E463" s="77"/>
      <c r="F463" s="77"/>
      <c r="G463" s="77"/>
      <c r="H463" s="77"/>
    </row>
    <row r="464" customFormat="false" ht="15.75" hidden="false" customHeight="true" outlineLevel="0" collapsed="false">
      <c r="A464" s="77"/>
      <c r="B464" s="77"/>
      <c r="C464" s="77"/>
      <c r="D464" s="77"/>
      <c r="E464" s="77"/>
      <c r="F464" s="77"/>
      <c r="G464" s="77"/>
      <c r="H464" s="77"/>
    </row>
    <row r="465" customFormat="false" ht="15.75" hidden="false" customHeight="true" outlineLevel="0" collapsed="false">
      <c r="A465" s="77"/>
      <c r="B465" s="77"/>
      <c r="C465" s="77"/>
      <c r="D465" s="77"/>
      <c r="E465" s="77"/>
      <c r="F465" s="77"/>
      <c r="G465" s="77"/>
      <c r="H465" s="77"/>
    </row>
    <row r="466" customFormat="false" ht="15.75" hidden="false" customHeight="true" outlineLevel="0" collapsed="false">
      <c r="A466" s="77"/>
      <c r="B466" s="77"/>
      <c r="C466" s="77"/>
      <c r="D466" s="77"/>
      <c r="E466" s="77"/>
      <c r="F466" s="77"/>
      <c r="G466" s="77"/>
      <c r="H466" s="77"/>
    </row>
    <row r="467" customFormat="false" ht="15.75" hidden="false" customHeight="true" outlineLevel="0" collapsed="false">
      <c r="A467" s="77"/>
      <c r="B467" s="77"/>
      <c r="C467" s="77"/>
      <c r="D467" s="77"/>
      <c r="E467" s="77"/>
      <c r="F467" s="77"/>
      <c r="G467" s="77"/>
      <c r="H467" s="77"/>
    </row>
    <row r="468" customFormat="false" ht="15.75" hidden="false" customHeight="true" outlineLevel="0" collapsed="false">
      <c r="A468" s="77"/>
      <c r="B468" s="77"/>
      <c r="C468" s="77"/>
      <c r="D468" s="77"/>
      <c r="E468" s="77"/>
      <c r="F468" s="77"/>
      <c r="G468" s="77"/>
      <c r="H468" s="77"/>
    </row>
    <row r="469" customFormat="false" ht="15.75" hidden="false" customHeight="true" outlineLevel="0" collapsed="false">
      <c r="A469" s="77"/>
      <c r="B469" s="77"/>
      <c r="C469" s="77"/>
      <c r="D469" s="77"/>
      <c r="E469" s="77"/>
      <c r="F469" s="77"/>
      <c r="G469" s="77"/>
      <c r="H469" s="77"/>
    </row>
    <row r="470" customFormat="false" ht="15.75" hidden="false" customHeight="true" outlineLevel="0" collapsed="false">
      <c r="A470" s="77"/>
      <c r="B470" s="77"/>
      <c r="C470" s="77"/>
      <c r="D470" s="77"/>
      <c r="E470" s="77"/>
      <c r="F470" s="77"/>
      <c r="G470" s="77"/>
      <c r="H470" s="77"/>
    </row>
    <row r="471" customFormat="false" ht="15.75" hidden="false" customHeight="true" outlineLevel="0" collapsed="false">
      <c r="A471" s="77"/>
      <c r="B471" s="77"/>
      <c r="C471" s="77"/>
      <c r="D471" s="77"/>
      <c r="E471" s="77"/>
      <c r="F471" s="77"/>
      <c r="G471" s="77"/>
      <c r="H471" s="77"/>
    </row>
    <row r="472" customFormat="false" ht="15.75" hidden="false" customHeight="true" outlineLevel="0" collapsed="false">
      <c r="A472" s="77"/>
      <c r="B472" s="77"/>
      <c r="C472" s="77"/>
      <c r="D472" s="77"/>
      <c r="E472" s="77"/>
      <c r="F472" s="77"/>
      <c r="G472" s="77"/>
      <c r="H472" s="77"/>
    </row>
    <row r="473" customFormat="false" ht="15.75" hidden="false" customHeight="true" outlineLevel="0" collapsed="false">
      <c r="A473" s="77"/>
      <c r="B473" s="77"/>
      <c r="C473" s="77"/>
      <c r="D473" s="77"/>
      <c r="E473" s="77"/>
      <c r="F473" s="77"/>
      <c r="G473" s="77"/>
      <c r="H473" s="77"/>
    </row>
    <row r="474" customFormat="false" ht="15.75" hidden="false" customHeight="true" outlineLevel="0" collapsed="false">
      <c r="A474" s="77"/>
      <c r="B474" s="77"/>
      <c r="C474" s="77"/>
      <c r="D474" s="77"/>
      <c r="E474" s="77"/>
      <c r="F474" s="77"/>
      <c r="G474" s="77"/>
      <c r="H474" s="77"/>
    </row>
    <row r="475" customFormat="false" ht="15.75" hidden="false" customHeight="true" outlineLevel="0" collapsed="false">
      <c r="A475" s="77"/>
      <c r="B475" s="77"/>
      <c r="C475" s="77"/>
      <c r="D475" s="77"/>
      <c r="E475" s="77"/>
      <c r="F475" s="77"/>
      <c r="G475" s="77"/>
      <c r="H475" s="77"/>
    </row>
    <row r="476" customFormat="false" ht="15.75" hidden="false" customHeight="true" outlineLevel="0" collapsed="false">
      <c r="A476" s="77"/>
      <c r="B476" s="77"/>
      <c r="C476" s="77"/>
      <c r="D476" s="77"/>
      <c r="E476" s="77"/>
      <c r="F476" s="77"/>
      <c r="G476" s="77"/>
      <c r="H476" s="77"/>
    </row>
    <row r="477" customFormat="false" ht="15.75" hidden="false" customHeight="true" outlineLevel="0" collapsed="false">
      <c r="A477" s="77"/>
      <c r="B477" s="77"/>
      <c r="C477" s="77"/>
      <c r="D477" s="77"/>
      <c r="E477" s="77"/>
      <c r="F477" s="77"/>
      <c r="G477" s="77"/>
      <c r="H477" s="77"/>
    </row>
    <row r="478" customFormat="false" ht="15.75" hidden="false" customHeight="true" outlineLevel="0" collapsed="false">
      <c r="A478" s="77"/>
      <c r="B478" s="77"/>
      <c r="C478" s="77"/>
      <c r="D478" s="77"/>
      <c r="E478" s="77"/>
      <c r="F478" s="77"/>
      <c r="G478" s="77"/>
      <c r="H478" s="77"/>
    </row>
    <row r="479" customFormat="false" ht="15.75" hidden="false" customHeight="true" outlineLevel="0" collapsed="false">
      <c r="A479" s="77"/>
      <c r="B479" s="77"/>
      <c r="C479" s="77"/>
      <c r="D479" s="77"/>
      <c r="E479" s="77"/>
      <c r="F479" s="77"/>
      <c r="G479" s="77"/>
      <c r="H479" s="77"/>
    </row>
    <row r="480" customFormat="false" ht="15.75" hidden="false" customHeight="true" outlineLevel="0" collapsed="false">
      <c r="A480" s="77"/>
      <c r="B480" s="77"/>
      <c r="C480" s="77"/>
      <c r="D480" s="77"/>
      <c r="E480" s="77"/>
      <c r="F480" s="77"/>
      <c r="G480" s="77"/>
      <c r="H480" s="77"/>
    </row>
    <row r="481" customFormat="false" ht="15.75" hidden="false" customHeight="true" outlineLevel="0" collapsed="false">
      <c r="A481" s="77"/>
      <c r="B481" s="77"/>
      <c r="C481" s="77"/>
      <c r="D481" s="77"/>
      <c r="E481" s="77"/>
      <c r="F481" s="77"/>
      <c r="G481" s="77"/>
      <c r="H481" s="77"/>
    </row>
    <row r="482" customFormat="false" ht="15.75" hidden="false" customHeight="true" outlineLevel="0" collapsed="false">
      <c r="A482" s="77"/>
      <c r="B482" s="77"/>
      <c r="C482" s="77"/>
      <c r="D482" s="77"/>
      <c r="E482" s="77"/>
      <c r="F482" s="77"/>
      <c r="G482" s="77"/>
      <c r="H482" s="77"/>
    </row>
    <row r="483" customFormat="false" ht="15.75" hidden="false" customHeight="true" outlineLevel="0" collapsed="false">
      <c r="A483" s="77"/>
      <c r="B483" s="77"/>
      <c r="C483" s="77"/>
      <c r="D483" s="77"/>
      <c r="E483" s="77"/>
      <c r="F483" s="77"/>
      <c r="G483" s="77"/>
      <c r="H483" s="77"/>
    </row>
    <row r="484" customFormat="false" ht="15.75" hidden="false" customHeight="true" outlineLevel="0" collapsed="false">
      <c r="A484" s="77"/>
      <c r="B484" s="77"/>
      <c r="C484" s="77"/>
      <c r="D484" s="77"/>
      <c r="E484" s="77"/>
      <c r="F484" s="77"/>
      <c r="G484" s="77"/>
      <c r="H484" s="77"/>
    </row>
    <row r="485" customFormat="false" ht="15.75" hidden="false" customHeight="true" outlineLevel="0" collapsed="false">
      <c r="A485" s="77"/>
      <c r="B485" s="77"/>
      <c r="C485" s="77"/>
      <c r="D485" s="77"/>
      <c r="E485" s="77"/>
      <c r="F485" s="77"/>
      <c r="G485" s="77"/>
      <c r="H485" s="77"/>
    </row>
    <row r="486" customFormat="false" ht="15.75" hidden="false" customHeight="true" outlineLevel="0" collapsed="false">
      <c r="A486" s="77"/>
      <c r="B486" s="77"/>
      <c r="C486" s="77"/>
      <c r="D486" s="77"/>
      <c r="E486" s="77"/>
      <c r="F486" s="77"/>
      <c r="G486" s="77"/>
      <c r="H486" s="77"/>
    </row>
    <row r="487" customFormat="false" ht="15.75" hidden="false" customHeight="true" outlineLevel="0" collapsed="false">
      <c r="A487" s="77"/>
      <c r="B487" s="77"/>
      <c r="C487" s="77"/>
      <c r="D487" s="77"/>
      <c r="E487" s="77"/>
      <c r="F487" s="77"/>
      <c r="G487" s="77"/>
      <c r="H487" s="77"/>
    </row>
    <row r="488" customFormat="false" ht="15.75" hidden="false" customHeight="true" outlineLevel="0" collapsed="false">
      <c r="A488" s="77"/>
      <c r="B488" s="77"/>
      <c r="C488" s="77"/>
      <c r="D488" s="77"/>
      <c r="E488" s="77"/>
      <c r="F488" s="77"/>
      <c r="G488" s="77"/>
      <c r="H488" s="77"/>
    </row>
    <row r="489" customFormat="false" ht="15.75" hidden="false" customHeight="true" outlineLevel="0" collapsed="false">
      <c r="A489" s="77"/>
      <c r="B489" s="77"/>
      <c r="C489" s="77"/>
      <c r="D489" s="77"/>
      <c r="E489" s="77"/>
      <c r="F489" s="77"/>
      <c r="G489" s="77"/>
      <c r="H489" s="77"/>
    </row>
    <row r="490" customFormat="false" ht="15.75" hidden="false" customHeight="true" outlineLevel="0" collapsed="false">
      <c r="A490" s="77"/>
      <c r="B490" s="77"/>
      <c r="C490" s="77"/>
      <c r="D490" s="77"/>
      <c r="E490" s="77"/>
      <c r="F490" s="77"/>
      <c r="G490" s="77"/>
      <c r="H490" s="77"/>
    </row>
    <row r="491" customFormat="false" ht="15.75" hidden="false" customHeight="true" outlineLevel="0" collapsed="false">
      <c r="A491" s="77"/>
      <c r="B491" s="77"/>
      <c r="C491" s="77"/>
      <c r="D491" s="77"/>
      <c r="E491" s="77"/>
      <c r="F491" s="77"/>
      <c r="G491" s="77"/>
      <c r="H491" s="77"/>
    </row>
    <row r="492" customFormat="false" ht="15.75" hidden="false" customHeight="true" outlineLevel="0" collapsed="false">
      <c r="A492" s="77"/>
      <c r="B492" s="77"/>
      <c r="C492" s="77"/>
      <c r="D492" s="77"/>
      <c r="E492" s="77"/>
      <c r="F492" s="77"/>
      <c r="G492" s="77"/>
      <c r="H492" s="77"/>
    </row>
    <row r="493" customFormat="false" ht="15.75" hidden="false" customHeight="true" outlineLevel="0" collapsed="false">
      <c r="A493" s="77"/>
      <c r="B493" s="77"/>
      <c r="C493" s="77"/>
      <c r="D493" s="77"/>
      <c r="E493" s="77"/>
      <c r="F493" s="77"/>
      <c r="G493" s="77"/>
      <c r="H493" s="77"/>
    </row>
    <row r="494" customFormat="false" ht="15.75" hidden="false" customHeight="true" outlineLevel="0" collapsed="false">
      <c r="A494" s="77"/>
      <c r="B494" s="77"/>
      <c r="C494" s="77"/>
      <c r="D494" s="77"/>
      <c r="E494" s="77"/>
      <c r="F494" s="77"/>
      <c r="G494" s="77"/>
      <c r="H494" s="77"/>
    </row>
    <row r="495" customFormat="false" ht="15.75" hidden="false" customHeight="true" outlineLevel="0" collapsed="false">
      <c r="A495" s="77"/>
      <c r="B495" s="77"/>
      <c r="C495" s="77"/>
      <c r="D495" s="77"/>
      <c r="E495" s="77"/>
      <c r="F495" s="77"/>
      <c r="G495" s="77"/>
      <c r="H495" s="77"/>
    </row>
    <row r="496" customFormat="false" ht="15.75" hidden="false" customHeight="true" outlineLevel="0" collapsed="false">
      <c r="A496" s="77"/>
      <c r="B496" s="77"/>
      <c r="C496" s="77"/>
      <c r="D496" s="77"/>
      <c r="E496" s="77"/>
      <c r="F496" s="77"/>
      <c r="G496" s="77"/>
      <c r="H496" s="77"/>
    </row>
    <row r="497" customFormat="false" ht="15.75" hidden="false" customHeight="true" outlineLevel="0" collapsed="false">
      <c r="A497" s="77"/>
      <c r="B497" s="77"/>
      <c r="C497" s="77"/>
      <c r="D497" s="77"/>
      <c r="E497" s="77"/>
      <c r="F497" s="77"/>
      <c r="G497" s="77"/>
      <c r="H497" s="77"/>
    </row>
    <row r="498" customFormat="false" ht="15.75" hidden="false" customHeight="true" outlineLevel="0" collapsed="false">
      <c r="A498" s="77"/>
      <c r="B498" s="77"/>
      <c r="C498" s="77"/>
      <c r="D498" s="77"/>
      <c r="E498" s="77"/>
      <c r="F498" s="77"/>
      <c r="G498" s="77"/>
      <c r="H498" s="77"/>
    </row>
    <row r="499" customFormat="false" ht="15.75" hidden="false" customHeight="true" outlineLevel="0" collapsed="false">
      <c r="A499" s="77"/>
      <c r="B499" s="77"/>
      <c r="C499" s="77"/>
      <c r="D499" s="77"/>
      <c r="E499" s="77"/>
      <c r="F499" s="77"/>
      <c r="G499" s="77"/>
      <c r="H499" s="77"/>
    </row>
    <row r="500" customFormat="false" ht="15.75" hidden="false" customHeight="true" outlineLevel="0" collapsed="false">
      <c r="A500" s="77"/>
      <c r="B500" s="77"/>
      <c r="C500" s="77"/>
      <c r="D500" s="77"/>
      <c r="E500" s="77"/>
      <c r="F500" s="77"/>
      <c r="G500" s="77"/>
      <c r="H500" s="77"/>
    </row>
    <row r="501" customFormat="false" ht="15.75" hidden="false" customHeight="true" outlineLevel="0" collapsed="false">
      <c r="A501" s="77"/>
      <c r="B501" s="77"/>
      <c r="C501" s="77"/>
      <c r="D501" s="77"/>
      <c r="E501" s="77"/>
      <c r="F501" s="77"/>
      <c r="G501" s="77"/>
      <c r="H501" s="77"/>
    </row>
    <row r="502" customFormat="false" ht="15.75" hidden="false" customHeight="true" outlineLevel="0" collapsed="false">
      <c r="A502" s="77"/>
      <c r="B502" s="77"/>
      <c r="C502" s="77"/>
      <c r="D502" s="77"/>
      <c r="E502" s="77"/>
      <c r="F502" s="77"/>
      <c r="G502" s="77"/>
      <c r="H502" s="77"/>
    </row>
    <row r="503" customFormat="false" ht="15.75" hidden="false" customHeight="true" outlineLevel="0" collapsed="false">
      <c r="A503" s="77"/>
      <c r="B503" s="77"/>
      <c r="C503" s="77"/>
      <c r="D503" s="77"/>
      <c r="E503" s="77"/>
      <c r="F503" s="77"/>
      <c r="G503" s="77"/>
      <c r="H503" s="77"/>
    </row>
    <row r="504" customFormat="false" ht="15.75" hidden="false" customHeight="true" outlineLevel="0" collapsed="false">
      <c r="A504" s="77"/>
      <c r="B504" s="77"/>
      <c r="C504" s="77"/>
      <c r="D504" s="77"/>
      <c r="E504" s="77"/>
      <c r="F504" s="77"/>
      <c r="G504" s="77"/>
      <c r="H504" s="77"/>
    </row>
    <row r="505" customFormat="false" ht="15.75" hidden="false" customHeight="true" outlineLevel="0" collapsed="false">
      <c r="A505" s="77"/>
      <c r="B505" s="77"/>
      <c r="C505" s="77"/>
      <c r="D505" s="77"/>
      <c r="E505" s="77"/>
      <c r="F505" s="77"/>
      <c r="G505" s="77"/>
      <c r="H505" s="77"/>
    </row>
    <row r="506" customFormat="false" ht="15.75" hidden="false" customHeight="true" outlineLevel="0" collapsed="false">
      <c r="A506" s="77"/>
      <c r="B506" s="77"/>
      <c r="C506" s="77"/>
      <c r="D506" s="77"/>
      <c r="E506" s="77"/>
      <c r="F506" s="77"/>
      <c r="G506" s="77"/>
      <c r="H506" s="77"/>
    </row>
    <row r="507" customFormat="false" ht="15.75" hidden="false" customHeight="true" outlineLevel="0" collapsed="false">
      <c r="A507" s="77"/>
      <c r="B507" s="77"/>
      <c r="C507" s="77"/>
      <c r="D507" s="77"/>
      <c r="E507" s="77"/>
      <c r="F507" s="77"/>
      <c r="G507" s="77"/>
      <c r="H507" s="77"/>
    </row>
    <row r="508" customFormat="false" ht="15.75" hidden="false" customHeight="true" outlineLevel="0" collapsed="false">
      <c r="A508" s="77"/>
      <c r="B508" s="77"/>
      <c r="C508" s="77"/>
      <c r="D508" s="77"/>
      <c r="E508" s="77"/>
      <c r="F508" s="77"/>
      <c r="G508" s="77"/>
      <c r="H508" s="77"/>
    </row>
    <row r="509" customFormat="false" ht="15.75" hidden="false" customHeight="true" outlineLevel="0" collapsed="false">
      <c r="A509" s="77"/>
      <c r="B509" s="77"/>
      <c r="C509" s="77"/>
      <c r="D509" s="77"/>
      <c r="E509" s="77"/>
      <c r="F509" s="77"/>
      <c r="G509" s="77"/>
      <c r="H509" s="77"/>
    </row>
    <row r="510" customFormat="false" ht="15.75" hidden="false" customHeight="true" outlineLevel="0" collapsed="false">
      <c r="A510" s="77"/>
      <c r="B510" s="77"/>
      <c r="C510" s="77"/>
      <c r="D510" s="77"/>
      <c r="E510" s="77"/>
      <c r="F510" s="77"/>
      <c r="G510" s="77"/>
      <c r="H510" s="77"/>
    </row>
    <row r="511" customFormat="false" ht="15.75" hidden="false" customHeight="true" outlineLevel="0" collapsed="false">
      <c r="A511" s="77"/>
      <c r="B511" s="77"/>
      <c r="C511" s="77"/>
      <c r="D511" s="77"/>
      <c r="E511" s="77"/>
      <c r="F511" s="77"/>
      <c r="G511" s="77"/>
      <c r="H511" s="77"/>
    </row>
    <row r="512" customFormat="false" ht="15.75" hidden="false" customHeight="true" outlineLevel="0" collapsed="false">
      <c r="A512" s="77"/>
      <c r="B512" s="77"/>
      <c r="C512" s="77"/>
      <c r="D512" s="77"/>
      <c r="E512" s="77"/>
      <c r="F512" s="77"/>
      <c r="G512" s="77"/>
      <c r="H512" s="77"/>
    </row>
    <row r="513" customFormat="false" ht="15.75" hidden="false" customHeight="true" outlineLevel="0" collapsed="false">
      <c r="A513" s="77"/>
      <c r="B513" s="77"/>
      <c r="C513" s="77"/>
      <c r="D513" s="77"/>
      <c r="E513" s="77"/>
      <c r="F513" s="77"/>
      <c r="G513" s="77"/>
      <c r="H513" s="77"/>
    </row>
    <row r="514" customFormat="false" ht="15.75" hidden="false" customHeight="true" outlineLevel="0" collapsed="false">
      <c r="A514" s="77"/>
      <c r="B514" s="77"/>
      <c r="C514" s="77"/>
      <c r="D514" s="77"/>
      <c r="E514" s="77"/>
      <c r="F514" s="77"/>
      <c r="G514" s="77"/>
      <c r="H514" s="77"/>
    </row>
    <row r="515" customFormat="false" ht="15.75" hidden="false" customHeight="true" outlineLevel="0" collapsed="false">
      <c r="A515" s="77"/>
      <c r="B515" s="77"/>
      <c r="C515" s="77"/>
      <c r="D515" s="77"/>
      <c r="E515" s="77"/>
      <c r="F515" s="77"/>
      <c r="G515" s="77"/>
      <c r="H515" s="77"/>
    </row>
    <row r="516" customFormat="false" ht="15.75" hidden="false" customHeight="true" outlineLevel="0" collapsed="false">
      <c r="A516" s="77"/>
      <c r="B516" s="77"/>
      <c r="C516" s="77"/>
      <c r="D516" s="77"/>
      <c r="E516" s="77"/>
      <c r="F516" s="77"/>
      <c r="G516" s="77"/>
      <c r="H516" s="77"/>
    </row>
    <row r="517" customFormat="false" ht="15.75" hidden="false" customHeight="true" outlineLevel="0" collapsed="false">
      <c r="A517" s="77"/>
      <c r="B517" s="77"/>
      <c r="C517" s="77"/>
      <c r="D517" s="77"/>
      <c r="E517" s="77"/>
      <c r="F517" s="77"/>
      <c r="G517" s="77"/>
      <c r="H517" s="77"/>
    </row>
    <row r="518" customFormat="false" ht="15.75" hidden="false" customHeight="true" outlineLevel="0" collapsed="false">
      <c r="A518" s="77"/>
      <c r="B518" s="77"/>
      <c r="C518" s="77"/>
      <c r="D518" s="77"/>
      <c r="E518" s="77"/>
      <c r="F518" s="77"/>
      <c r="G518" s="77"/>
      <c r="H518" s="77"/>
    </row>
    <row r="519" customFormat="false" ht="15.75" hidden="false" customHeight="true" outlineLevel="0" collapsed="false">
      <c r="A519" s="77"/>
      <c r="B519" s="77"/>
      <c r="C519" s="77"/>
      <c r="D519" s="77"/>
      <c r="E519" s="77"/>
      <c r="F519" s="77"/>
      <c r="G519" s="77"/>
      <c r="H519" s="77"/>
    </row>
    <row r="520" customFormat="false" ht="15.75" hidden="false" customHeight="true" outlineLevel="0" collapsed="false">
      <c r="A520" s="77"/>
      <c r="B520" s="77"/>
      <c r="C520" s="77"/>
      <c r="D520" s="77"/>
      <c r="E520" s="77"/>
      <c r="F520" s="77"/>
      <c r="G520" s="77"/>
      <c r="H520" s="77"/>
    </row>
    <row r="521" customFormat="false" ht="15.75" hidden="false" customHeight="true" outlineLevel="0" collapsed="false">
      <c r="A521" s="77"/>
      <c r="B521" s="77"/>
      <c r="C521" s="77"/>
      <c r="D521" s="77"/>
      <c r="E521" s="77"/>
      <c r="F521" s="77"/>
      <c r="G521" s="77"/>
      <c r="H521" s="77"/>
    </row>
    <row r="522" customFormat="false" ht="15.75" hidden="false" customHeight="true" outlineLevel="0" collapsed="false">
      <c r="A522" s="77"/>
      <c r="B522" s="77"/>
      <c r="C522" s="77"/>
      <c r="D522" s="77"/>
      <c r="E522" s="77"/>
      <c r="F522" s="77"/>
      <c r="G522" s="77"/>
      <c r="H522" s="77"/>
    </row>
    <row r="523" customFormat="false" ht="15.75" hidden="false" customHeight="true" outlineLevel="0" collapsed="false">
      <c r="A523" s="77"/>
      <c r="B523" s="77"/>
      <c r="C523" s="77"/>
      <c r="D523" s="77"/>
      <c r="E523" s="77"/>
      <c r="F523" s="77"/>
      <c r="G523" s="77"/>
      <c r="H523" s="77"/>
    </row>
    <row r="524" customFormat="false" ht="15.75" hidden="false" customHeight="true" outlineLevel="0" collapsed="false">
      <c r="A524" s="77"/>
      <c r="B524" s="77"/>
      <c r="C524" s="77"/>
      <c r="D524" s="77"/>
      <c r="E524" s="77"/>
      <c r="F524" s="77"/>
      <c r="G524" s="77"/>
      <c r="H524" s="77"/>
    </row>
    <row r="525" customFormat="false" ht="15.75" hidden="false" customHeight="true" outlineLevel="0" collapsed="false">
      <c r="A525" s="77"/>
      <c r="B525" s="77"/>
      <c r="C525" s="77"/>
      <c r="D525" s="77"/>
      <c r="E525" s="77"/>
      <c r="F525" s="77"/>
      <c r="G525" s="77"/>
      <c r="H525" s="77"/>
    </row>
    <row r="526" customFormat="false" ht="15.75" hidden="false" customHeight="true" outlineLevel="0" collapsed="false">
      <c r="A526" s="77"/>
      <c r="B526" s="77"/>
      <c r="C526" s="77"/>
      <c r="D526" s="77"/>
      <c r="E526" s="77"/>
      <c r="F526" s="77"/>
      <c r="G526" s="77"/>
      <c r="H526" s="77"/>
    </row>
    <row r="527" customFormat="false" ht="15.75" hidden="false" customHeight="true" outlineLevel="0" collapsed="false">
      <c r="A527" s="77"/>
      <c r="B527" s="77"/>
      <c r="C527" s="77"/>
      <c r="D527" s="77"/>
      <c r="E527" s="77"/>
      <c r="F527" s="77"/>
      <c r="G527" s="77"/>
      <c r="H527" s="77"/>
    </row>
    <row r="528" customFormat="false" ht="15.75" hidden="false" customHeight="true" outlineLevel="0" collapsed="false">
      <c r="A528" s="77"/>
      <c r="B528" s="77"/>
      <c r="C528" s="77"/>
      <c r="D528" s="77"/>
      <c r="E528" s="77"/>
      <c r="F528" s="77"/>
      <c r="G528" s="77"/>
      <c r="H528" s="77"/>
    </row>
    <row r="529" customFormat="false" ht="15.75" hidden="false" customHeight="true" outlineLevel="0" collapsed="false">
      <c r="A529" s="77"/>
      <c r="B529" s="77"/>
      <c r="C529" s="77"/>
      <c r="D529" s="77"/>
      <c r="E529" s="77"/>
      <c r="F529" s="77"/>
      <c r="G529" s="77"/>
      <c r="H529" s="77"/>
    </row>
    <row r="530" customFormat="false" ht="15.75" hidden="false" customHeight="true" outlineLevel="0" collapsed="false">
      <c r="A530" s="77"/>
      <c r="B530" s="77"/>
      <c r="C530" s="77"/>
      <c r="D530" s="77"/>
      <c r="E530" s="77"/>
      <c r="F530" s="77"/>
      <c r="G530" s="77"/>
      <c r="H530" s="77"/>
    </row>
    <row r="531" customFormat="false" ht="15.75" hidden="false" customHeight="true" outlineLevel="0" collapsed="false">
      <c r="A531" s="77"/>
      <c r="B531" s="77"/>
      <c r="C531" s="77"/>
      <c r="D531" s="77"/>
      <c r="E531" s="77"/>
      <c r="F531" s="77"/>
      <c r="G531" s="77"/>
      <c r="H531" s="77"/>
    </row>
    <row r="532" customFormat="false" ht="15.75" hidden="false" customHeight="true" outlineLevel="0" collapsed="false">
      <c r="A532" s="77"/>
      <c r="B532" s="77"/>
      <c r="C532" s="77"/>
      <c r="D532" s="77"/>
      <c r="E532" s="77"/>
      <c r="F532" s="77"/>
      <c r="G532" s="77"/>
      <c r="H532" s="77"/>
    </row>
    <row r="533" customFormat="false" ht="15.75" hidden="false" customHeight="true" outlineLevel="0" collapsed="false">
      <c r="A533" s="77"/>
      <c r="B533" s="77"/>
      <c r="C533" s="77"/>
      <c r="D533" s="77"/>
      <c r="E533" s="77"/>
      <c r="F533" s="77"/>
      <c r="G533" s="77"/>
      <c r="H533" s="77"/>
    </row>
    <row r="534" customFormat="false" ht="15.75" hidden="false" customHeight="true" outlineLevel="0" collapsed="false">
      <c r="A534" s="77"/>
      <c r="B534" s="77"/>
      <c r="C534" s="77"/>
      <c r="D534" s="77"/>
      <c r="E534" s="77"/>
      <c r="F534" s="77"/>
      <c r="G534" s="77"/>
      <c r="H534" s="77"/>
    </row>
    <row r="535" customFormat="false" ht="15.75" hidden="false" customHeight="true" outlineLevel="0" collapsed="false">
      <c r="A535" s="77"/>
      <c r="B535" s="77"/>
      <c r="C535" s="77"/>
      <c r="D535" s="77"/>
      <c r="E535" s="77"/>
      <c r="F535" s="77"/>
      <c r="G535" s="77"/>
      <c r="H535" s="77"/>
    </row>
    <row r="536" customFormat="false" ht="15.75" hidden="false" customHeight="true" outlineLevel="0" collapsed="false">
      <c r="A536" s="77"/>
      <c r="B536" s="77"/>
      <c r="C536" s="77"/>
      <c r="D536" s="77"/>
      <c r="E536" s="77"/>
      <c r="F536" s="77"/>
      <c r="G536" s="77"/>
      <c r="H536" s="77"/>
    </row>
    <row r="537" customFormat="false" ht="15.75" hidden="false" customHeight="true" outlineLevel="0" collapsed="false">
      <c r="A537" s="77"/>
      <c r="B537" s="77"/>
      <c r="C537" s="77"/>
      <c r="D537" s="77"/>
      <c r="E537" s="77"/>
      <c r="F537" s="77"/>
      <c r="G537" s="77"/>
      <c r="H537" s="77"/>
    </row>
    <row r="538" customFormat="false" ht="15.75" hidden="false" customHeight="true" outlineLevel="0" collapsed="false">
      <c r="A538" s="77"/>
      <c r="B538" s="77"/>
      <c r="C538" s="77"/>
      <c r="D538" s="77"/>
      <c r="E538" s="77"/>
      <c r="F538" s="77"/>
      <c r="G538" s="77"/>
      <c r="H538" s="77"/>
    </row>
    <row r="539" customFormat="false" ht="15.75" hidden="false" customHeight="true" outlineLevel="0" collapsed="false">
      <c r="A539" s="77"/>
      <c r="B539" s="77"/>
      <c r="C539" s="77"/>
      <c r="D539" s="77"/>
      <c r="E539" s="77"/>
      <c r="F539" s="77"/>
      <c r="G539" s="77"/>
      <c r="H539" s="77"/>
    </row>
    <row r="540" customFormat="false" ht="15.75" hidden="false" customHeight="true" outlineLevel="0" collapsed="false">
      <c r="A540" s="77"/>
      <c r="B540" s="77"/>
      <c r="C540" s="77"/>
      <c r="D540" s="77"/>
      <c r="E540" s="77"/>
      <c r="F540" s="77"/>
      <c r="G540" s="77"/>
      <c r="H540" s="77"/>
    </row>
    <row r="541" customFormat="false" ht="15.75" hidden="false" customHeight="true" outlineLevel="0" collapsed="false">
      <c r="A541" s="77"/>
      <c r="B541" s="77"/>
      <c r="C541" s="77"/>
      <c r="D541" s="77"/>
      <c r="E541" s="77"/>
      <c r="F541" s="77"/>
      <c r="G541" s="77"/>
      <c r="H541" s="77"/>
    </row>
    <row r="542" customFormat="false" ht="15.75" hidden="false" customHeight="true" outlineLevel="0" collapsed="false">
      <c r="A542" s="77"/>
      <c r="B542" s="77"/>
      <c r="C542" s="77"/>
      <c r="D542" s="77"/>
      <c r="E542" s="77"/>
      <c r="F542" s="77"/>
      <c r="G542" s="77"/>
      <c r="H542" s="77"/>
    </row>
    <row r="543" customFormat="false" ht="15.75" hidden="false" customHeight="true" outlineLevel="0" collapsed="false">
      <c r="A543" s="77"/>
      <c r="B543" s="77"/>
      <c r="C543" s="77"/>
      <c r="D543" s="77"/>
      <c r="E543" s="77"/>
      <c r="F543" s="77"/>
      <c r="G543" s="77"/>
      <c r="H543" s="77"/>
    </row>
    <row r="544" customFormat="false" ht="15.75" hidden="false" customHeight="true" outlineLevel="0" collapsed="false">
      <c r="A544" s="77"/>
      <c r="B544" s="77"/>
      <c r="C544" s="77"/>
      <c r="D544" s="77"/>
      <c r="E544" s="77"/>
      <c r="F544" s="77"/>
      <c r="G544" s="77"/>
      <c r="H544" s="77"/>
    </row>
    <row r="545" customFormat="false" ht="15.75" hidden="false" customHeight="true" outlineLevel="0" collapsed="false">
      <c r="A545" s="77"/>
      <c r="B545" s="77"/>
      <c r="C545" s="77"/>
      <c r="D545" s="77"/>
      <c r="E545" s="77"/>
      <c r="F545" s="77"/>
      <c r="G545" s="77"/>
      <c r="H545" s="77"/>
    </row>
    <row r="546" customFormat="false" ht="15.75" hidden="false" customHeight="true" outlineLevel="0" collapsed="false">
      <c r="A546" s="77"/>
      <c r="B546" s="77"/>
      <c r="C546" s="77"/>
      <c r="D546" s="77"/>
      <c r="E546" s="77"/>
      <c r="F546" s="77"/>
      <c r="G546" s="77"/>
      <c r="H546" s="77"/>
    </row>
    <row r="547" customFormat="false" ht="15.75" hidden="false" customHeight="true" outlineLevel="0" collapsed="false">
      <c r="A547" s="77"/>
      <c r="B547" s="77"/>
      <c r="C547" s="77"/>
      <c r="D547" s="77"/>
      <c r="E547" s="77"/>
      <c r="F547" s="77"/>
      <c r="G547" s="77"/>
      <c r="H547" s="77"/>
    </row>
    <row r="548" customFormat="false" ht="15.75" hidden="false" customHeight="true" outlineLevel="0" collapsed="false">
      <c r="A548" s="77"/>
      <c r="B548" s="77"/>
      <c r="C548" s="77"/>
      <c r="D548" s="77"/>
      <c r="E548" s="77"/>
      <c r="F548" s="77"/>
      <c r="G548" s="77"/>
      <c r="H548" s="77"/>
    </row>
    <row r="549" customFormat="false" ht="15.75" hidden="false" customHeight="true" outlineLevel="0" collapsed="false">
      <c r="A549" s="77"/>
      <c r="B549" s="77"/>
      <c r="C549" s="77"/>
      <c r="D549" s="77"/>
      <c r="E549" s="77"/>
      <c r="F549" s="77"/>
      <c r="G549" s="77"/>
      <c r="H549" s="77"/>
    </row>
    <row r="550" customFormat="false" ht="15.75" hidden="false" customHeight="true" outlineLevel="0" collapsed="false">
      <c r="A550" s="77"/>
      <c r="B550" s="77"/>
      <c r="C550" s="77"/>
      <c r="D550" s="77"/>
      <c r="E550" s="77"/>
      <c r="F550" s="77"/>
      <c r="G550" s="77"/>
      <c r="H550" s="77"/>
    </row>
    <row r="551" customFormat="false" ht="15.75" hidden="false" customHeight="true" outlineLevel="0" collapsed="false">
      <c r="A551" s="77"/>
      <c r="B551" s="77"/>
      <c r="C551" s="77"/>
      <c r="D551" s="77"/>
      <c r="E551" s="77"/>
      <c r="F551" s="77"/>
      <c r="G551" s="77"/>
      <c r="H551" s="77"/>
    </row>
    <row r="552" customFormat="false" ht="15.75" hidden="false" customHeight="true" outlineLevel="0" collapsed="false">
      <c r="A552" s="77"/>
      <c r="B552" s="77"/>
      <c r="C552" s="77"/>
      <c r="D552" s="77"/>
      <c r="E552" s="77"/>
      <c r="F552" s="77"/>
      <c r="G552" s="77"/>
      <c r="H552" s="77"/>
    </row>
    <row r="553" customFormat="false" ht="15.75" hidden="false" customHeight="true" outlineLevel="0" collapsed="false">
      <c r="A553" s="77"/>
      <c r="B553" s="77"/>
      <c r="C553" s="77"/>
      <c r="D553" s="77"/>
      <c r="E553" s="77"/>
      <c r="F553" s="77"/>
      <c r="G553" s="77"/>
      <c r="H553" s="77"/>
    </row>
    <row r="554" customFormat="false" ht="15.75" hidden="false" customHeight="true" outlineLevel="0" collapsed="false">
      <c r="A554" s="77"/>
      <c r="B554" s="77"/>
      <c r="C554" s="77"/>
      <c r="D554" s="77"/>
      <c r="E554" s="77"/>
      <c r="F554" s="77"/>
      <c r="G554" s="77"/>
      <c r="H554" s="77"/>
    </row>
    <row r="555" customFormat="false" ht="15.75" hidden="false" customHeight="true" outlineLevel="0" collapsed="false">
      <c r="A555" s="77"/>
      <c r="B555" s="77"/>
      <c r="C555" s="77"/>
      <c r="D555" s="77"/>
      <c r="E555" s="77"/>
      <c r="F555" s="77"/>
      <c r="G555" s="77"/>
      <c r="H555" s="77"/>
    </row>
    <row r="556" customFormat="false" ht="15.75" hidden="false" customHeight="true" outlineLevel="0" collapsed="false">
      <c r="A556" s="77"/>
      <c r="B556" s="77"/>
      <c r="C556" s="77"/>
      <c r="D556" s="77"/>
      <c r="E556" s="77"/>
      <c r="F556" s="77"/>
      <c r="G556" s="77"/>
      <c r="H556" s="77"/>
    </row>
    <row r="557" customFormat="false" ht="15.75" hidden="false" customHeight="true" outlineLevel="0" collapsed="false">
      <c r="A557" s="77"/>
      <c r="B557" s="77"/>
      <c r="C557" s="77"/>
      <c r="D557" s="77"/>
      <c r="E557" s="77"/>
      <c r="F557" s="77"/>
      <c r="G557" s="77"/>
      <c r="H557" s="77"/>
    </row>
    <row r="558" customFormat="false" ht="15.75" hidden="false" customHeight="true" outlineLevel="0" collapsed="false">
      <c r="A558" s="77"/>
      <c r="B558" s="77"/>
      <c r="C558" s="77"/>
      <c r="D558" s="77"/>
      <c r="E558" s="77"/>
      <c r="F558" s="77"/>
      <c r="G558" s="77"/>
      <c r="H558" s="77"/>
    </row>
    <row r="559" customFormat="false" ht="15.75" hidden="false" customHeight="true" outlineLevel="0" collapsed="false">
      <c r="A559" s="77"/>
      <c r="B559" s="77"/>
      <c r="C559" s="77"/>
      <c r="D559" s="77"/>
      <c r="E559" s="77"/>
      <c r="F559" s="77"/>
      <c r="G559" s="77"/>
      <c r="H559" s="77"/>
    </row>
    <row r="560" customFormat="false" ht="15.75" hidden="false" customHeight="true" outlineLevel="0" collapsed="false">
      <c r="A560" s="77"/>
      <c r="B560" s="77"/>
      <c r="C560" s="77"/>
      <c r="D560" s="77"/>
      <c r="E560" s="77"/>
      <c r="F560" s="77"/>
      <c r="G560" s="77"/>
      <c r="H560" s="77"/>
    </row>
    <row r="561" customFormat="false" ht="15.75" hidden="false" customHeight="true" outlineLevel="0" collapsed="false">
      <c r="A561" s="77"/>
      <c r="B561" s="77"/>
      <c r="C561" s="77"/>
      <c r="D561" s="77"/>
      <c r="E561" s="77"/>
      <c r="F561" s="77"/>
      <c r="G561" s="77"/>
      <c r="H561" s="77"/>
    </row>
    <row r="562" customFormat="false" ht="15.75" hidden="false" customHeight="true" outlineLevel="0" collapsed="false">
      <c r="A562" s="77"/>
      <c r="B562" s="77"/>
      <c r="C562" s="77"/>
      <c r="D562" s="77"/>
      <c r="E562" s="77"/>
      <c r="F562" s="77"/>
      <c r="G562" s="77"/>
      <c r="H562" s="77"/>
    </row>
    <row r="563" customFormat="false" ht="15.75" hidden="false" customHeight="true" outlineLevel="0" collapsed="false">
      <c r="A563" s="77"/>
      <c r="B563" s="77"/>
      <c r="C563" s="77"/>
      <c r="D563" s="77"/>
      <c r="E563" s="77"/>
      <c r="F563" s="77"/>
      <c r="G563" s="77"/>
      <c r="H563" s="77"/>
    </row>
    <row r="564" customFormat="false" ht="15.75" hidden="false" customHeight="true" outlineLevel="0" collapsed="false">
      <c r="A564" s="77"/>
      <c r="B564" s="77"/>
      <c r="C564" s="77"/>
      <c r="D564" s="77"/>
      <c r="E564" s="77"/>
      <c r="F564" s="77"/>
      <c r="G564" s="77"/>
      <c r="H564" s="77"/>
    </row>
    <row r="565" customFormat="false" ht="15.75" hidden="false" customHeight="true" outlineLevel="0" collapsed="false">
      <c r="A565" s="77"/>
      <c r="B565" s="77"/>
      <c r="C565" s="77"/>
      <c r="D565" s="77"/>
      <c r="E565" s="77"/>
      <c r="F565" s="77"/>
      <c r="G565" s="77"/>
      <c r="H565" s="77"/>
    </row>
    <row r="566" customFormat="false" ht="15.75" hidden="false" customHeight="true" outlineLevel="0" collapsed="false">
      <c r="A566" s="77"/>
      <c r="B566" s="77"/>
      <c r="C566" s="77"/>
      <c r="D566" s="77"/>
      <c r="E566" s="77"/>
      <c r="F566" s="77"/>
      <c r="G566" s="77"/>
      <c r="H566" s="77"/>
    </row>
    <row r="567" customFormat="false" ht="15.75" hidden="false" customHeight="true" outlineLevel="0" collapsed="false">
      <c r="A567" s="77"/>
      <c r="B567" s="77"/>
      <c r="C567" s="77"/>
      <c r="D567" s="77"/>
      <c r="E567" s="77"/>
      <c r="F567" s="77"/>
      <c r="G567" s="77"/>
      <c r="H567" s="77"/>
    </row>
    <row r="568" customFormat="false" ht="15.75" hidden="false" customHeight="true" outlineLevel="0" collapsed="false">
      <c r="A568" s="77"/>
      <c r="B568" s="77"/>
      <c r="C568" s="77"/>
      <c r="D568" s="77"/>
      <c r="E568" s="77"/>
      <c r="F568" s="77"/>
      <c r="G568" s="77"/>
      <c r="H568" s="77"/>
    </row>
    <row r="569" customFormat="false" ht="15.75" hidden="false" customHeight="true" outlineLevel="0" collapsed="false">
      <c r="A569" s="77"/>
      <c r="B569" s="77"/>
      <c r="C569" s="77"/>
      <c r="D569" s="77"/>
      <c r="E569" s="77"/>
      <c r="F569" s="77"/>
      <c r="G569" s="77"/>
      <c r="H569" s="77"/>
    </row>
    <row r="570" customFormat="false" ht="15.75" hidden="false" customHeight="true" outlineLevel="0" collapsed="false">
      <c r="A570" s="77"/>
      <c r="B570" s="77"/>
      <c r="C570" s="77"/>
      <c r="D570" s="77"/>
      <c r="E570" s="77"/>
      <c r="F570" s="77"/>
      <c r="G570" s="77"/>
      <c r="H570" s="77"/>
    </row>
    <row r="571" customFormat="false" ht="15.75" hidden="false" customHeight="true" outlineLevel="0" collapsed="false">
      <c r="A571" s="77"/>
      <c r="B571" s="77"/>
      <c r="C571" s="77"/>
      <c r="D571" s="77"/>
      <c r="E571" s="77"/>
      <c r="F571" s="77"/>
      <c r="G571" s="77"/>
      <c r="H571" s="77"/>
    </row>
    <row r="572" customFormat="false" ht="15.75" hidden="false" customHeight="true" outlineLevel="0" collapsed="false">
      <c r="A572" s="77"/>
      <c r="B572" s="77"/>
      <c r="C572" s="77"/>
      <c r="D572" s="77"/>
      <c r="E572" s="77"/>
      <c r="F572" s="77"/>
      <c r="G572" s="77"/>
      <c r="H572" s="77"/>
    </row>
    <row r="573" customFormat="false" ht="15.75" hidden="false" customHeight="true" outlineLevel="0" collapsed="false">
      <c r="A573" s="77"/>
      <c r="B573" s="77"/>
      <c r="C573" s="77"/>
      <c r="D573" s="77"/>
      <c r="E573" s="77"/>
      <c r="F573" s="77"/>
      <c r="G573" s="77"/>
      <c r="H573" s="77"/>
    </row>
    <row r="574" customFormat="false" ht="15.75" hidden="false" customHeight="true" outlineLevel="0" collapsed="false">
      <c r="A574" s="77"/>
      <c r="B574" s="77"/>
      <c r="C574" s="77"/>
      <c r="D574" s="77"/>
      <c r="E574" s="77"/>
      <c r="F574" s="77"/>
      <c r="G574" s="77"/>
      <c r="H574" s="77"/>
    </row>
    <row r="575" customFormat="false" ht="15.75" hidden="false" customHeight="true" outlineLevel="0" collapsed="false">
      <c r="A575" s="77"/>
      <c r="B575" s="77"/>
      <c r="C575" s="77"/>
      <c r="D575" s="77"/>
      <c r="E575" s="77"/>
      <c r="F575" s="77"/>
      <c r="G575" s="77"/>
      <c r="H575" s="77"/>
    </row>
    <row r="576" customFormat="false" ht="15.75" hidden="false" customHeight="true" outlineLevel="0" collapsed="false">
      <c r="A576" s="77"/>
      <c r="B576" s="77"/>
      <c r="C576" s="77"/>
      <c r="D576" s="77"/>
      <c r="E576" s="77"/>
      <c r="F576" s="77"/>
      <c r="G576" s="77"/>
      <c r="H576" s="77"/>
    </row>
    <row r="577" customFormat="false" ht="15.75" hidden="false" customHeight="true" outlineLevel="0" collapsed="false">
      <c r="A577" s="77"/>
      <c r="B577" s="77"/>
      <c r="C577" s="77"/>
      <c r="D577" s="77"/>
      <c r="E577" s="77"/>
      <c r="F577" s="77"/>
      <c r="G577" s="77"/>
      <c r="H577" s="77"/>
    </row>
    <row r="578" customFormat="false" ht="15.75" hidden="false" customHeight="true" outlineLevel="0" collapsed="false">
      <c r="A578" s="77"/>
      <c r="B578" s="77"/>
      <c r="C578" s="77"/>
      <c r="D578" s="77"/>
      <c r="E578" s="77"/>
      <c r="F578" s="77"/>
      <c r="G578" s="77"/>
      <c r="H578" s="77"/>
    </row>
    <row r="579" customFormat="false" ht="15.75" hidden="false" customHeight="true" outlineLevel="0" collapsed="false">
      <c r="A579" s="77"/>
      <c r="B579" s="77"/>
      <c r="C579" s="77"/>
      <c r="D579" s="77"/>
      <c r="E579" s="77"/>
      <c r="F579" s="77"/>
      <c r="G579" s="77"/>
      <c r="H579" s="77"/>
    </row>
    <row r="580" customFormat="false" ht="15.75" hidden="false" customHeight="true" outlineLevel="0" collapsed="false">
      <c r="A580" s="77"/>
      <c r="B580" s="77"/>
      <c r="C580" s="77"/>
      <c r="D580" s="77"/>
      <c r="E580" s="77"/>
      <c r="F580" s="77"/>
      <c r="G580" s="77"/>
      <c r="H580" s="77"/>
    </row>
    <row r="581" customFormat="false" ht="15.75" hidden="false" customHeight="true" outlineLevel="0" collapsed="false">
      <c r="A581" s="77"/>
      <c r="B581" s="77"/>
      <c r="C581" s="77"/>
      <c r="D581" s="77"/>
      <c r="E581" s="77"/>
      <c r="F581" s="77"/>
      <c r="G581" s="77"/>
      <c r="H581" s="77"/>
    </row>
    <row r="582" customFormat="false" ht="15.75" hidden="false" customHeight="true" outlineLevel="0" collapsed="false">
      <c r="A582" s="77"/>
      <c r="B582" s="77"/>
      <c r="C582" s="77"/>
      <c r="D582" s="77"/>
      <c r="E582" s="77"/>
      <c r="F582" s="77"/>
      <c r="G582" s="77"/>
      <c r="H582" s="77"/>
    </row>
    <row r="583" customFormat="false" ht="15.75" hidden="false" customHeight="true" outlineLevel="0" collapsed="false">
      <c r="A583" s="77"/>
      <c r="B583" s="77"/>
      <c r="C583" s="77"/>
      <c r="D583" s="77"/>
      <c r="E583" s="77"/>
      <c r="F583" s="77"/>
      <c r="G583" s="77"/>
      <c r="H583" s="77"/>
    </row>
    <row r="584" customFormat="false" ht="15.75" hidden="false" customHeight="true" outlineLevel="0" collapsed="false">
      <c r="A584" s="77"/>
      <c r="B584" s="77"/>
      <c r="C584" s="77"/>
      <c r="D584" s="77"/>
      <c r="E584" s="77"/>
      <c r="F584" s="77"/>
      <c r="G584" s="77"/>
      <c r="H584" s="77"/>
    </row>
    <row r="585" customFormat="false" ht="15.75" hidden="false" customHeight="true" outlineLevel="0" collapsed="false">
      <c r="A585" s="77"/>
      <c r="B585" s="77"/>
      <c r="C585" s="77"/>
      <c r="D585" s="77"/>
      <c r="E585" s="77"/>
      <c r="F585" s="77"/>
      <c r="G585" s="77"/>
      <c r="H585" s="77"/>
    </row>
    <row r="586" customFormat="false" ht="15.75" hidden="false" customHeight="true" outlineLevel="0" collapsed="false">
      <c r="A586" s="77"/>
      <c r="B586" s="77"/>
      <c r="C586" s="77"/>
      <c r="D586" s="77"/>
      <c r="E586" s="77"/>
      <c r="F586" s="77"/>
      <c r="G586" s="77"/>
      <c r="H586" s="77"/>
    </row>
    <row r="587" customFormat="false" ht="15.75" hidden="false" customHeight="true" outlineLevel="0" collapsed="false">
      <c r="A587" s="77"/>
      <c r="B587" s="77"/>
      <c r="C587" s="77"/>
      <c r="D587" s="77"/>
      <c r="E587" s="77"/>
      <c r="F587" s="77"/>
      <c r="G587" s="77"/>
      <c r="H587" s="77"/>
    </row>
    <row r="588" customFormat="false" ht="15.75" hidden="false" customHeight="true" outlineLevel="0" collapsed="false">
      <c r="A588" s="77"/>
      <c r="B588" s="77"/>
      <c r="C588" s="77"/>
      <c r="D588" s="77"/>
      <c r="E588" s="77"/>
      <c r="F588" s="77"/>
      <c r="G588" s="77"/>
      <c r="H588" s="77"/>
    </row>
    <row r="589" customFormat="false" ht="15.75" hidden="false" customHeight="true" outlineLevel="0" collapsed="false">
      <c r="A589" s="77"/>
      <c r="B589" s="77"/>
      <c r="C589" s="77"/>
      <c r="D589" s="77"/>
      <c r="E589" s="77"/>
      <c r="F589" s="77"/>
      <c r="G589" s="77"/>
      <c r="H589" s="77"/>
    </row>
    <row r="590" customFormat="false" ht="15.75" hidden="false" customHeight="true" outlineLevel="0" collapsed="false">
      <c r="A590" s="77"/>
      <c r="B590" s="77"/>
      <c r="C590" s="77"/>
      <c r="D590" s="77"/>
      <c r="E590" s="77"/>
      <c r="F590" s="77"/>
      <c r="G590" s="77"/>
      <c r="H590" s="77"/>
    </row>
    <row r="591" customFormat="false" ht="15.75" hidden="false" customHeight="true" outlineLevel="0" collapsed="false">
      <c r="A591" s="77"/>
      <c r="B591" s="77"/>
      <c r="C591" s="77"/>
      <c r="D591" s="77"/>
      <c r="E591" s="77"/>
      <c r="F591" s="77"/>
      <c r="G591" s="77"/>
      <c r="H591" s="77"/>
    </row>
    <row r="592" customFormat="false" ht="15.75" hidden="false" customHeight="true" outlineLevel="0" collapsed="false">
      <c r="A592" s="77"/>
      <c r="B592" s="77"/>
      <c r="C592" s="77"/>
      <c r="D592" s="77"/>
      <c r="E592" s="77"/>
      <c r="F592" s="77"/>
      <c r="G592" s="77"/>
      <c r="H592" s="77"/>
    </row>
    <row r="593" customFormat="false" ht="15.75" hidden="false" customHeight="true" outlineLevel="0" collapsed="false">
      <c r="A593" s="77"/>
      <c r="B593" s="77"/>
      <c r="C593" s="77"/>
      <c r="D593" s="77"/>
      <c r="E593" s="77"/>
      <c r="F593" s="77"/>
      <c r="G593" s="77"/>
      <c r="H593" s="77"/>
    </row>
    <row r="594" customFormat="false" ht="15.75" hidden="false" customHeight="true" outlineLevel="0" collapsed="false">
      <c r="A594" s="77"/>
      <c r="B594" s="77"/>
      <c r="C594" s="77"/>
      <c r="D594" s="77"/>
      <c r="E594" s="77"/>
      <c r="F594" s="77"/>
      <c r="G594" s="77"/>
      <c r="H594" s="77"/>
    </row>
    <row r="595" customFormat="false" ht="15.75" hidden="false" customHeight="true" outlineLevel="0" collapsed="false">
      <c r="A595" s="77"/>
      <c r="B595" s="77"/>
      <c r="C595" s="77"/>
      <c r="D595" s="77"/>
      <c r="E595" s="77"/>
      <c r="F595" s="77"/>
      <c r="G595" s="77"/>
      <c r="H595" s="77"/>
    </row>
    <row r="596" customFormat="false" ht="15.75" hidden="false" customHeight="true" outlineLevel="0" collapsed="false">
      <c r="A596" s="77"/>
      <c r="B596" s="77"/>
      <c r="C596" s="77"/>
      <c r="D596" s="77"/>
      <c r="E596" s="77"/>
      <c r="F596" s="77"/>
      <c r="G596" s="77"/>
      <c r="H596" s="77"/>
    </row>
    <row r="597" customFormat="false" ht="15.75" hidden="false" customHeight="true" outlineLevel="0" collapsed="false">
      <c r="A597" s="77"/>
      <c r="B597" s="77"/>
      <c r="C597" s="77"/>
      <c r="D597" s="77"/>
      <c r="E597" s="77"/>
      <c r="F597" s="77"/>
      <c r="G597" s="77"/>
      <c r="H597" s="77"/>
    </row>
    <row r="598" customFormat="false" ht="15.75" hidden="false" customHeight="true" outlineLevel="0" collapsed="false">
      <c r="A598" s="77"/>
      <c r="B598" s="77"/>
      <c r="C598" s="77"/>
      <c r="D598" s="77"/>
      <c r="E598" s="77"/>
      <c r="F598" s="77"/>
      <c r="G598" s="77"/>
      <c r="H598" s="77"/>
    </row>
    <row r="599" customFormat="false" ht="15.75" hidden="false" customHeight="true" outlineLevel="0" collapsed="false">
      <c r="A599" s="77"/>
      <c r="B599" s="77"/>
      <c r="C599" s="77"/>
      <c r="D599" s="77"/>
      <c r="E599" s="77"/>
      <c r="F599" s="77"/>
      <c r="G599" s="77"/>
      <c r="H599" s="77"/>
    </row>
    <row r="600" customFormat="false" ht="15.75" hidden="false" customHeight="true" outlineLevel="0" collapsed="false">
      <c r="A600" s="77"/>
      <c r="B600" s="77"/>
      <c r="C600" s="77"/>
      <c r="D600" s="77"/>
      <c r="E600" s="77"/>
      <c r="F600" s="77"/>
      <c r="G600" s="77"/>
      <c r="H600" s="77"/>
    </row>
    <row r="601" customFormat="false" ht="15.75" hidden="false" customHeight="true" outlineLevel="0" collapsed="false">
      <c r="A601" s="77"/>
      <c r="B601" s="77"/>
      <c r="C601" s="77"/>
      <c r="D601" s="77"/>
      <c r="E601" s="77"/>
      <c r="F601" s="77"/>
      <c r="G601" s="77"/>
      <c r="H601" s="77"/>
    </row>
    <row r="602" customFormat="false" ht="15.75" hidden="false" customHeight="true" outlineLevel="0" collapsed="false">
      <c r="A602" s="77"/>
      <c r="B602" s="77"/>
      <c r="C602" s="77"/>
      <c r="D602" s="77"/>
      <c r="E602" s="77"/>
      <c r="F602" s="77"/>
      <c r="G602" s="77"/>
      <c r="H602" s="77"/>
    </row>
    <row r="603" customFormat="false" ht="15.75" hidden="false" customHeight="true" outlineLevel="0" collapsed="false">
      <c r="A603" s="77"/>
      <c r="B603" s="77"/>
      <c r="C603" s="77"/>
      <c r="D603" s="77"/>
      <c r="E603" s="77"/>
      <c r="F603" s="77"/>
      <c r="G603" s="77"/>
      <c r="H603" s="77"/>
    </row>
    <row r="604" customFormat="false" ht="15.75" hidden="false" customHeight="true" outlineLevel="0" collapsed="false">
      <c r="A604" s="77"/>
      <c r="B604" s="77"/>
      <c r="C604" s="77"/>
      <c r="D604" s="77"/>
      <c r="E604" s="77"/>
      <c r="F604" s="77"/>
      <c r="G604" s="77"/>
      <c r="H604" s="77"/>
    </row>
    <row r="605" customFormat="false" ht="15.75" hidden="false" customHeight="true" outlineLevel="0" collapsed="false">
      <c r="A605" s="77"/>
      <c r="B605" s="77"/>
      <c r="C605" s="77"/>
      <c r="D605" s="77"/>
      <c r="E605" s="77"/>
      <c r="F605" s="77"/>
      <c r="G605" s="77"/>
      <c r="H605" s="77"/>
    </row>
    <row r="606" customFormat="false" ht="15.75" hidden="false" customHeight="true" outlineLevel="0" collapsed="false">
      <c r="A606" s="77"/>
      <c r="B606" s="77"/>
      <c r="C606" s="77"/>
      <c r="D606" s="77"/>
      <c r="E606" s="77"/>
      <c r="F606" s="77"/>
      <c r="G606" s="77"/>
      <c r="H606" s="77"/>
    </row>
    <row r="607" customFormat="false" ht="15.75" hidden="false" customHeight="true" outlineLevel="0" collapsed="false">
      <c r="A607" s="77"/>
      <c r="B607" s="77"/>
      <c r="C607" s="77"/>
      <c r="D607" s="77"/>
      <c r="E607" s="77"/>
      <c r="F607" s="77"/>
      <c r="G607" s="77"/>
      <c r="H607" s="77"/>
    </row>
    <row r="608" customFormat="false" ht="15.75" hidden="false" customHeight="true" outlineLevel="0" collapsed="false">
      <c r="A608" s="77"/>
      <c r="B608" s="77"/>
      <c r="C608" s="77"/>
      <c r="D608" s="77"/>
      <c r="E608" s="77"/>
      <c r="F608" s="77"/>
      <c r="G608" s="77"/>
      <c r="H608" s="77"/>
    </row>
    <row r="609" customFormat="false" ht="15.75" hidden="false" customHeight="true" outlineLevel="0" collapsed="false">
      <c r="A609" s="77"/>
      <c r="B609" s="77"/>
      <c r="C609" s="77"/>
      <c r="D609" s="77"/>
      <c r="E609" s="77"/>
      <c r="F609" s="77"/>
      <c r="G609" s="77"/>
      <c r="H609" s="77"/>
    </row>
    <row r="610" customFormat="false" ht="15.75" hidden="false" customHeight="true" outlineLevel="0" collapsed="false">
      <c r="A610" s="77"/>
      <c r="B610" s="77"/>
      <c r="C610" s="77"/>
      <c r="D610" s="77"/>
      <c r="E610" s="77"/>
      <c r="F610" s="77"/>
      <c r="G610" s="77"/>
      <c r="H610" s="77"/>
    </row>
    <row r="611" customFormat="false" ht="15.75" hidden="false" customHeight="true" outlineLevel="0" collapsed="false">
      <c r="A611" s="77"/>
      <c r="B611" s="77"/>
      <c r="C611" s="77"/>
      <c r="D611" s="77"/>
      <c r="E611" s="77"/>
      <c r="F611" s="77"/>
      <c r="G611" s="77"/>
      <c r="H611" s="77"/>
    </row>
    <row r="612" customFormat="false" ht="15.75" hidden="false" customHeight="true" outlineLevel="0" collapsed="false">
      <c r="A612" s="77"/>
      <c r="B612" s="77"/>
      <c r="C612" s="77"/>
      <c r="D612" s="77"/>
      <c r="E612" s="77"/>
      <c r="F612" s="77"/>
      <c r="G612" s="77"/>
      <c r="H612" s="77"/>
    </row>
    <row r="613" customFormat="false" ht="15.75" hidden="false" customHeight="true" outlineLevel="0" collapsed="false">
      <c r="A613" s="77"/>
      <c r="B613" s="77"/>
      <c r="C613" s="77"/>
      <c r="D613" s="77"/>
      <c r="E613" s="77"/>
      <c r="F613" s="77"/>
      <c r="G613" s="77"/>
      <c r="H613" s="77"/>
    </row>
    <row r="614" customFormat="false" ht="15.75" hidden="false" customHeight="true" outlineLevel="0" collapsed="false">
      <c r="A614" s="77"/>
      <c r="B614" s="77"/>
      <c r="C614" s="77"/>
      <c r="D614" s="77"/>
      <c r="E614" s="77"/>
      <c r="F614" s="77"/>
      <c r="G614" s="77"/>
      <c r="H614" s="77"/>
    </row>
    <row r="615" customFormat="false" ht="15.75" hidden="false" customHeight="true" outlineLevel="0" collapsed="false">
      <c r="A615" s="77"/>
      <c r="B615" s="77"/>
      <c r="C615" s="77"/>
      <c r="D615" s="77"/>
      <c r="E615" s="77"/>
      <c r="F615" s="77"/>
      <c r="G615" s="77"/>
      <c r="H615" s="77"/>
    </row>
    <row r="616" customFormat="false" ht="15.75" hidden="false" customHeight="true" outlineLevel="0" collapsed="false">
      <c r="A616" s="77"/>
      <c r="B616" s="77"/>
      <c r="C616" s="77"/>
      <c r="D616" s="77"/>
      <c r="E616" s="77"/>
      <c r="F616" s="77"/>
      <c r="G616" s="77"/>
      <c r="H616" s="77"/>
    </row>
    <row r="617" customFormat="false" ht="15.75" hidden="false" customHeight="true" outlineLevel="0" collapsed="false">
      <c r="A617" s="77"/>
      <c r="B617" s="77"/>
      <c r="C617" s="77"/>
      <c r="D617" s="77"/>
      <c r="E617" s="77"/>
      <c r="F617" s="77"/>
      <c r="G617" s="77"/>
      <c r="H617" s="77"/>
    </row>
    <row r="618" customFormat="false" ht="15.75" hidden="false" customHeight="true" outlineLevel="0" collapsed="false">
      <c r="A618" s="77"/>
      <c r="B618" s="77"/>
      <c r="C618" s="77"/>
      <c r="D618" s="77"/>
      <c r="E618" s="77"/>
      <c r="F618" s="77"/>
      <c r="G618" s="77"/>
      <c r="H618" s="77"/>
    </row>
    <row r="619" customFormat="false" ht="15.75" hidden="false" customHeight="true" outlineLevel="0" collapsed="false">
      <c r="A619" s="77"/>
      <c r="B619" s="77"/>
      <c r="C619" s="77"/>
      <c r="D619" s="77"/>
      <c r="E619" s="77"/>
      <c r="F619" s="77"/>
      <c r="G619" s="77"/>
      <c r="H619" s="77"/>
    </row>
    <row r="620" customFormat="false" ht="15.75" hidden="false" customHeight="true" outlineLevel="0" collapsed="false">
      <c r="A620" s="77"/>
      <c r="B620" s="77"/>
      <c r="C620" s="77"/>
      <c r="D620" s="77"/>
      <c r="E620" s="77"/>
      <c r="F620" s="77"/>
      <c r="G620" s="77"/>
      <c r="H620" s="77"/>
    </row>
    <row r="621" customFormat="false" ht="15.75" hidden="false" customHeight="true" outlineLevel="0" collapsed="false">
      <c r="A621" s="77"/>
      <c r="B621" s="77"/>
      <c r="C621" s="77"/>
      <c r="D621" s="77"/>
      <c r="E621" s="77"/>
      <c r="F621" s="77"/>
      <c r="G621" s="77"/>
      <c r="H621" s="77"/>
    </row>
    <row r="622" customFormat="false" ht="15.75" hidden="false" customHeight="true" outlineLevel="0" collapsed="false">
      <c r="A622" s="77"/>
      <c r="B622" s="77"/>
      <c r="C622" s="77"/>
      <c r="D622" s="77"/>
      <c r="E622" s="77"/>
      <c r="F622" s="77"/>
      <c r="G622" s="77"/>
      <c r="H622" s="77"/>
    </row>
    <row r="623" customFormat="false" ht="15.75" hidden="false" customHeight="true" outlineLevel="0" collapsed="false">
      <c r="A623" s="77"/>
      <c r="B623" s="77"/>
      <c r="C623" s="77"/>
      <c r="D623" s="77"/>
      <c r="E623" s="77"/>
      <c r="F623" s="77"/>
      <c r="G623" s="77"/>
      <c r="H623" s="77"/>
    </row>
    <row r="624" customFormat="false" ht="15.75" hidden="false" customHeight="true" outlineLevel="0" collapsed="false">
      <c r="A624" s="77"/>
      <c r="B624" s="77"/>
      <c r="C624" s="77"/>
      <c r="D624" s="77"/>
      <c r="E624" s="77"/>
      <c r="F624" s="77"/>
      <c r="G624" s="77"/>
      <c r="H624" s="77"/>
    </row>
    <row r="625" customFormat="false" ht="15.75" hidden="false" customHeight="true" outlineLevel="0" collapsed="false">
      <c r="A625" s="77"/>
      <c r="B625" s="77"/>
      <c r="C625" s="77"/>
      <c r="D625" s="77"/>
      <c r="E625" s="77"/>
      <c r="F625" s="77"/>
      <c r="G625" s="77"/>
      <c r="H625" s="77"/>
    </row>
    <row r="626" customFormat="false" ht="15.75" hidden="false" customHeight="true" outlineLevel="0" collapsed="false">
      <c r="A626" s="77"/>
      <c r="B626" s="77"/>
      <c r="C626" s="77"/>
      <c r="D626" s="77"/>
      <c r="E626" s="77"/>
      <c r="F626" s="77"/>
      <c r="G626" s="77"/>
      <c r="H626" s="77"/>
    </row>
    <row r="627" customFormat="false" ht="15.75" hidden="false" customHeight="true" outlineLevel="0" collapsed="false">
      <c r="A627" s="77"/>
      <c r="B627" s="77"/>
      <c r="C627" s="77"/>
      <c r="D627" s="77"/>
      <c r="E627" s="77"/>
      <c r="F627" s="77"/>
      <c r="G627" s="77"/>
      <c r="H627" s="77"/>
    </row>
    <row r="628" customFormat="false" ht="15.75" hidden="false" customHeight="true" outlineLevel="0" collapsed="false">
      <c r="A628" s="77"/>
      <c r="B628" s="77"/>
      <c r="C628" s="77"/>
      <c r="D628" s="77"/>
      <c r="E628" s="77"/>
      <c r="F628" s="77"/>
      <c r="G628" s="77"/>
      <c r="H628" s="77"/>
    </row>
    <row r="629" customFormat="false" ht="15.75" hidden="false" customHeight="true" outlineLevel="0" collapsed="false">
      <c r="A629" s="77"/>
      <c r="B629" s="77"/>
      <c r="C629" s="77"/>
      <c r="D629" s="77"/>
      <c r="E629" s="77"/>
      <c r="F629" s="77"/>
      <c r="G629" s="77"/>
      <c r="H629" s="77"/>
    </row>
    <row r="630" customFormat="false" ht="15.75" hidden="false" customHeight="true" outlineLevel="0" collapsed="false">
      <c r="A630" s="77"/>
      <c r="B630" s="77"/>
      <c r="C630" s="77"/>
      <c r="D630" s="77"/>
      <c r="E630" s="77"/>
      <c r="F630" s="77"/>
      <c r="G630" s="77"/>
      <c r="H630" s="77"/>
    </row>
    <row r="631" customFormat="false" ht="15.75" hidden="false" customHeight="true" outlineLevel="0" collapsed="false">
      <c r="A631" s="77"/>
      <c r="B631" s="77"/>
      <c r="C631" s="77"/>
      <c r="D631" s="77"/>
      <c r="E631" s="77"/>
      <c r="F631" s="77"/>
      <c r="G631" s="77"/>
      <c r="H631" s="77"/>
    </row>
    <row r="632" customFormat="false" ht="15.75" hidden="false" customHeight="true" outlineLevel="0" collapsed="false">
      <c r="A632" s="77"/>
      <c r="B632" s="77"/>
      <c r="C632" s="77"/>
      <c r="D632" s="77"/>
      <c r="E632" s="77"/>
      <c r="F632" s="77"/>
      <c r="G632" s="77"/>
      <c r="H632" s="77"/>
    </row>
    <row r="633" customFormat="false" ht="15.75" hidden="false" customHeight="true" outlineLevel="0" collapsed="false">
      <c r="A633" s="77"/>
      <c r="B633" s="77"/>
      <c r="C633" s="77"/>
      <c r="D633" s="77"/>
      <c r="E633" s="77"/>
      <c r="F633" s="77"/>
      <c r="G633" s="77"/>
      <c r="H633" s="77"/>
    </row>
    <row r="634" customFormat="false" ht="15.75" hidden="false" customHeight="true" outlineLevel="0" collapsed="false">
      <c r="A634" s="77"/>
      <c r="B634" s="77"/>
      <c r="C634" s="77"/>
      <c r="D634" s="77"/>
      <c r="E634" s="77"/>
      <c r="F634" s="77"/>
      <c r="G634" s="77"/>
      <c r="H634" s="77"/>
    </row>
    <row r="635" customFormat="false" ht="15.75" hidden="false" customHeight="true" outlineLevel="0" collapsed="false">
      <c r="A635" s="77"/>
      <c r="B635" s="77"/>
      <c r="C635" s="77"/>
      <c r="D635" s="77"/>
      <c r="E635" s="77"/>
      <c r="F635" s="77"/>
      <c r="G635" s="77"/>
      <c r="H635" s="77"/>
    </row>
    <row r="636" customFormat="false" ht="15.75" hidden="false" customHeight="true" outlineLevel="0" collapsed="false">
      <c r="A636" s="77"/>
      <c r="B636" s="77"/>
      <c r="C636" s="77"/>
      <c r="D636" s="77"/>
      <c r="E636" s="77"/>
      <c r="F636" s="77"/>
      <c r="G636" s="77"/>
      <c r="H636" s="77"/>
    </row>
    <row r="637" customFormat="false" ht="15.75" hidden="false" customHeight="true" outlineLevel="0" collapsed="false">
      <c r="A637" s="77"/>
      <c r="B637" s="77"/>
      <c r="C637" s="77"/>
      <c r="D637" s="77"/>
      <c r="E637" s="77"/>
      <c r="F637" s="77"/>
      <c r="G637" s="77"/>
      <c r="H637" s="77"/>
    </row>
    <row r="638" customFormat="false" ht="15.75" hidden="false" customHeight="true" outlineLevel="0" collapsed="false">
      <c r="A638" s="77"/>
      <c r="B638" s="77"/>
      <c r="C638" s="77"/>
      <c r="D638" s="77"/>
      <c r="E638" s="77"/>
      <c r="F638" s="77"/>
      <c r="G638" s="77"/>
      <c r="H638" s="77"/>
    </row>
    <row r="639" customFormat="false" ht="15.75" hidden="false" customHeight="true" outlineLevel="0" collapsed="false">
      <c r="A639" s="77"/>
      <c r="B639" s="77"/>
      <c r="C639" s="77"/>
      <c r="D639" s="77"/>
      <c r="E639" s="77"/>
      <c r="F639" s="77"/>
      <c r="G639" s="77"/>
      <c r="H639" s="77"/>
    </row>
    <row r="640" customFormat="false" ht="15.75" hidden="false" customHeight="true" outlineLevel="0" collapsed="false">
      <c r="A640" s="77"/>
      <c r="B640" s="77"/>
      <c r="C640" s="77"/>
      <c r="D640" s="77"/>
      <c r="E640" s="77"/>
      <c r="F640" s="77"/>
      <c r="G640" s="77"/>
      <c r="H640" s="77"/>
    </row>
    <row r="641" customFormat="false" ht="15.75" hidden="false" customHeight="true" outlineLevel="0" collapsed="false">
      <c r="A641" s="77"/>
      <c r="B641" s="77"/>
      <c r="C641" s="77"/>
      <c r="D641" s="77"/>
      <c r="E641" s="77"/>
      <c r="F641" s="77"/>
      <c r="G641" s="77"/>
      <c r="H641" s="77"/>
    </row>
    <row r="642" customFormat="false" ht="15.75" hidden="false" customHeight="true" outlineLevel="0" collapsed="false">
      <c r="A642" s="77"/>
      <c r="B642" s="77"/>
      <c r="C642" s="77"/>
      <c r="D642" s="77"/>
      <c r="E642" s="77"/>
      <c r="F642" s="77"/>
      <c r="G642" s="77"/>
      <c r="H642" s="77"/>
    </row>
    <row r="643" customFormat="false" ht="15.75" hidden="false" customHeight="true" outlineLevel="0" collapsed="false">
      <c r="A643" s="77"/>
      <c r="B643" s="77"/>
      <c r="C643" s="77"/>
      <c r="D643" s="77"/>
      <c r="E643" s="77"/>
      <c r="F643" s="77"/>
      <c r="G643" s="77"/>
      <c r="H643" s="77"/>
    </row>
    <row r="644" customFormat="false" ht="15.75" hidden="false" customHeight="true" outlineLevel="0" collapsed="false">
      <c r="A644" s="77"/>
      <c r="B644" s="77"/>
      <c r="C644" s="77"/>
      <c r="D644" s="77"/>
      <c r="E644" s="77"/>
      <c r="F644" s="77"/>
      <c r="G644" s="77"/>
      <c r="H644" s="77"/>
    </row>
    <row r="645" customFormat="false" ht="15.75" hidden="false" customHeight="true" outlineLevel="0" collapsed="false">
      <c r="A645" s="77"/>
      <c r="B645" s="77"/>
      <c r="C645" s="77"/>
      <c r="D645" s="77"/>
      <c r="E645" s="77"/>
      <c r="F645" s="77"/>
      <c r="G645" s="77"/>
      <c r="H645" s="77"/>
    </row>
    <row r="646" customFormat="false" ht="15.75" hidden="false" customHeight="true" outlineLevel="0" collapsed="false">
      <c r="A646" s="77"/>
      <c r="B646" s="77"/>
      <c r="C646" s="77"/>
      <c r="D646" s="77"/>
      <c r="E646" s="77"/>
      <c r="F646" s="77"/>
      <c r="G646" s="77"/>
      <c r="H646" s="77"/>
    </row>
    <row r="647" customFormat="false" ht="15.75" hidden="false" customHeight="true" outlineLevel="0" collapsed="false">
      <c r="A647" s="77"/>
      <c r="B647" s="77"/>
      <c r="C647" s="77"/>
      <c r="D647" s="77"/>
      <c r="E647" s="77"/>
      <c r="F647" s="77"/>
      <c r="G647" s="77"/>
      <c r="H647" s="77"/>
    </row>
    <row r="648" customFormat="false" ht="15.75" hidden="false" customHeight="true" outlineLevel="0" collapsed="false">
      <c r="A648" s="77"/>
      <c r="B648" s="77"/>
      <c r="C648" s="77"/>
      <c r="D648" s="77"/>
      <c r="E648" s="77"/>
      <c r="F648" s="77"/>
      <c r="G648" s="77"/>
      <c r="H648" s="77"/>
    </row>
    <row r="649" customFormat="false" ht="15.75" hidden="false" customHeight="true" outlineLevel="0" collapsed="false">
      <c r="A649" s="77"/>
      <c r="B649" s="77"/>
      <c r="C649" s="77"/>
      <c r="D649" s="77"/>
      <c r="E649" s="77"/>
      <c r="F649" s="77"/>
      <c r="G649" s="77"/>
      <c r="H649" s="77"/>
    </row>
    <row r="650" customFormat="false" ht="15.75" hidden="false" customHeight="true" outlineLevel="0" collapsed="false">
      <c r="A650" s="77"/>
      <c r="B650" s="77"/>
      <c r="C650" s="77"/>
      <c r="D650" s="77"/>
      <c r="E650" s="77"/>
      <c r="F650" s="77"/>
      <c r="G650" s="77"/>
      <c r="H650" s="77"/>
    </row>
    <row r="651" customFormat="false" ht="15.75" hidden="false" customHeight="true" outlineLevel="0" collapsed="false">
      <c r="A651" s="77"/>
      <c r="B651" s="77"/>
      <c r="C651" s="77"/>
      <c r="D651" s="77"/>
      <c r="E651" s="77"/>
      <c r="F651" s="77"/>
      <c r="G651" s="77"/>
      <c r="H651" s="77"/>
    </row>
    <row r="652" customFormat="false" ht="15.75" hidden="false" customHeight="true" outlineLevel="0" collapsed="false">
      <c r="A652" s="77"/>
      <c r="B652" s="77"/>
      <c r="C652" s="77"/>
      <c r="D652" s="77"/>
      <c r="E652" s="77"/>
      <c r="F652" s="77"/>
      <c r="G652" s="77"/>
      <c r="H652" s="77"/>
    </row>
    <row r="653" customFormat="false" ht="15.75" hidden="false" customHeight="true" outlineLevel="0" collapsed="false">
      <c r="A653" s="77"/>
      <c r="B653" s="77"/>
      <c r="C653" s="77"/>
      <c r="D653" s="77"/>
      <c r="E653" s="77"/>
      <c r="F653" s="77"/>
      <c r="G653" s="77"/>
      <c r="H653" s="77"/>
    </row>
    <row r="654" customFormat="false" ht="15.75" hidden="false" customHeight="true" outlineLevel="0" collapsed="false">
      <c r="A654" s="77"/>
      <c r="B654" s="77"/>
      <c r="C654" s="77"/>
      <c r="D654" s="77"/>
      <c r="E654" s="77"/>
      <c r="F654" s="77"/>
      <c r="G654" s="77"/>
      <c r="H654" s="77"/>
    </row>
    <row r="655" customFormat="false" ht="15.75" hidden="false" customHeight="true" outlineLevel="0" collapsed="false">
      <c r="A655" s="77"/>
      <c r="B655" s="77"/>
      <c r="C655" s="77"/>
      <c r="D655" s="77"/>
      <c r="E655" s="77"/>
      <c r="F655" s="77"/>
      <c r="G655" s="77"/>
      <c r="H655" s="77"/>
    </row>
    <row r="656" customFormat="false" ht="15.75" hidden="false" customHeight="true" outlineLevel="0" collapsed="false">
      <c r="A656" s="77"/>
      <c r="B656" s="77"/>
      <c r="C656" s="77"/>
      <c r="D656" s="77"/>
      <c r="E656" s="77"/>
      <c r="F656" s="77"/>
      <c r="G656" s="77"/>
      <c r="H656" s="77"/>
    </row>
    <row r="657" customFormat="false" ht="15.75" hidden="false" customHeight="true" outlineLevel="0" collapsed="false">
      <c r="A657" s="77"/>
      <c r="B657" s="77"/>
      <c r="C657" s="77"/>
      <c r="D657" s="77"/>
      <c r="E657" s="77"/>
      <c r="F657" s="77"/>
      <c r="G657" s="77"/>
      <c r="H657" s="77"/>
    </row>
    <row r="658" customFormat="false" ht="15.75" hidden="false" customHeight="true" outlineLevel="0" collapsed="false">
      <c r="A658" s="77"/>
      <c r="B658" s="77"/>
      <c r="C658" s="77"/>
      <c r="D658" s="77"/>
      <c r="E658" s="77"/>
      <c r="F658" s="77"/>
      <c r="G658" s="77"/>
      <c r="H658" s="77"/>
    </row>
    <row r="659" customFormat="false" ht="15.75" hidden="false" customHeight="true" outlineLevel="0" collapsed="false">
      <c r="A659" s="77"/>
      <c r="B659" s="77"/>
      <c r="C659" s="77"/>
      <c r="D659" s="77"/>
      <c r="E659" s="77"/>
      <c r="F659" s="77"/>
      <c r="G659" s="77"/>
      <c r="H659" s="77"/>
    </row>
    <row r="660" customFormat="false" ht="15.75" hidden="false" customHeight="true" outlineLevel="0" collapsed="false">
      <c r="A660" s="77"/>
      <c r="B660" s="77"/>
      <c r="C660" s="77"/>
      <c r="D660" s="77"/>
      <c r="E660" s="77"/>
      <c r="F660" s="77"/>
      <c r="G660" s="77"/>
      <c r="H660" s="77"/>
    </row>
    <row r="661" customFormat="false" ht="15.75" hidden="false" customHeight="true" outlineLevel="0" collapsed="false">
      <c r="A661" s="77"/>
      <c r="B661" s="77"/>
      <c r="C661" s="77"/>
      <c r="D661" s="77"/>
      <c r="E661" s="77"/>
      <c r="F661" s="77"/>
      <c r="G661" s="77"/>
      <c r="H661" s="77"/>
    </row>
    <row r="662" customFormat="false" ht="15.75" hidden="false" customHeight="true" outlineLevel="0" collapsed="false">
      <c r="A662" s="77"/>
      <c r="B662" s="77"/>
      <c r="C662" s="77"/>
      <c r="D662" s="77"/>
      <c r="E662" s="77"/>
      <c r="F662" s="77"/>
      <c r="G662" s="77"/>
      <c r="H662" s="77"/>
    </row>
    <row r="663" customFormat="false" ht="15.75" hidden="false" customHeight="true" outlineLevel="0" collapsed="false">
      <c r="A663" s="77"/>
      <c r="B663" s="77"/>
      <c r="C663" s="77"/>
      <c r="D663" s="77"/>
      <c r="E663" s="77"/>
      <c r="F663" s="77"/>
      <c r="G663" s="77"/>
      <c r="H663" s="77"/>
    </row>
    <row r="664" customFormat="false" ht="15.75" hidden="false" customHeight="true" outlineLevel="0" collapsed="false">
      <c r="A664" s="77"/>
      <c r="B664" s="77"/>
      <c r="C664" s="77"/>
      <c r="D664" s="77"/>
      <c r="E664" s="77"/>
      <c r="F664" s="77"/>
      <c r="G664" s="77"/>
      <c r="H664" s="77"/>
    </row>
    <row r="665" customFormat="false" ht="15.75" hidden="false" customHeight="true" outlineLevel="0" collapsed="false">
      <c r="A665" s="77"/>
      <c r="B665" s="77"/>
      <c r="C665" s="77"/>
      <c r="D665" s="77"/>
      <c r="E665" s="77"/>
      <c r="F665" s="77"/>
      <c r="G665" s="77"/>
      <c r="H665" s="77"/>
    </row>
    <row r="666" customFormat="false" ht="15.75" hidden="false" customHeight="true" outlineLevel="0" collapsed="false">
      <c r="A666" s="77"/>
      <c r="B666" s="77"/>
      <c r="C666" s="77"/>
      <c r="D666" s="77"/>
      <c r="E666" s="77"/>
      <c r="F666" s="77"/>
      <c r="G666" s="77"/>
      <c r="H666" s="77"/>
    </row>
    <row r="667" customFormat="false" ht="15.75" hidden="false" customHeight="true" outlineLevel="0" collapsed="false">
      <c r="A667" s="77"/>
      <c r="B667" s="77"/>
      <c r="C667" s="77"/>
      <c r="D667" s="77"/>
      <c r="E667" s="77"/>
      <c r="F667" s="77"/>
      <c r="G667" s="77"/>
      <c r="H667" s="77"/>
    </row>
    <row r="668" customFormat="false" ht="15.75" hidden="false" customHeight="true" outlineLevel="0" collapsed="false">
      <c r="A668" s="77"/>
      <c r="B668" s="77"/>
      <c r="C668" s="77"/>
      <c r="D668" s="77"/>
      <c r="E668" s="77"/>
      <c r="F668" s="77"/>
      <c r="G668" s="77"/>
      <c r="H668" s="77"/>
    </row>
    <row r="669" customFormat="false" ht="15.75" hidden="false" customHeight="true" outlineLevel="0" collapsed="false">
      <c r="A669" s="77"/>
      <c r="B669" s="77"/>
      <c r="C669" s="77"/>
      <c r="D669" s="77"/>
      <c r="E669" s="77"/>
      <c r="F669" s="77"/>
      <c r="G669" s="77"/>
      <c r="H669" s="77"/>
    </row>
    <row r="670" customFormat="false" ht="15.75" hidden="false" customHeight="true" outlineLevel="0" collapsed="false">
      <c r="A670" s="77"/>
      <c r="B670" s="77"/>
      <c r="C670" s="77"/>
      <c r="D670" s="77"/>
      <c r="E670" s="77"/>
      <c r="F670" s="77"/>
      <c r="G670" s="77"/>
      <c r="H670" s="77"/>
    </row>
    <row r="671" customFormat="false" ht="15.75" hidden="false" customHeight="true" outlineLevel="0" collapsed="false">
      <c r="A671" s="77"/>
      <c r="B671" s="77"/>
      <c r="C671" s="77"/>
      <c r="D671" s="77"/>
      <c r="E671" s="77"/>
      <c r="F671" s="77"/>
      <c r="G671" s="77"/>
      <c r="H671" s="77"/>
    </row>
    <row r="672" customFormat="false" ht="15.75" hidden="false" customHeight="true" outlineLevel="0" collapsed="false">
      <c r="A672" s="77"/>
      <c r="B672" s="77"/>
      <c r="C672" s="77"/>
      <c r="D672" s="77"/>
      <c r="E672" s="77"/>
      <c r="F672" s="77"/>
      <c r="G672" s="77"/>
      <c r="H672" s="77"/>
    </row>
    <row r="673" customFormat="false" ht="15.75" hidden="false" customHeight="true" outlineLevel="0" collapsed="false">
      <c r="A673" s="77"/>
      <c r="B673" s="77"/>
      <c r="C673" s="77"/>
      <c r="D673" s="77"/>
      <c r="E673" s="77"/>
      <c r="F673" s="77"/>
      <c r="G673" s="77"/>
      <c r="H673" s="77"/>
    </row>
    <row r="674" customFormat="false" ht="15.75" hidden="false" customHeight="true" outlineLevel="0" collapsed="false">
      <c r="A674" s="77"/>
      <c r="B674" s="77"/>
      <c r="C674" s="77"/>
      <c r="D674" s="77"/>
      <c r="E674" s="77"/>
      <c r="F674" s="77"/>
      <c r="G674" s="77"/>
      <c r="H674" s="77"/>
    </row>
    <row r="675" customFormat="false" ht="15.75" hidden="false" customHeight="true" outlineLevel="0" collapsed="false">
      <c r="A675" s="77"/>
      <c r="B675" s="77"/>
      <c r="C675" s="77"/>
      <c r="D675" s="77"/>
      <c r="E675" s="77"/>
      <c r="F675" s="77"/>
      <c r="G675" s="77"/>
      <c r="H675" s="77"/>
    </row>
    <row r="676" customFormat="false" ht="15.75" hidden="false" customHeight="true" outlineLevel="0" collapsed="false">
      <c r="A676" s="77"/>
      <c r="B676" s="77"/>
      <c r="C676" s="77"/>
      <c r="D676" s="77"/>
      <c r="E676" s="77"/>
      <c r="F676" s="77"/>
      <c r="G676" s="77"/>
      <c r="H676" s="77"/>
    </row>
    <row r="677" customFormat="false" ht="15.75" hidden="false" customHeight="true" outlineLevel="0" collapsed="false">
      <c r="A677" s="77"/>
      <c r="B677" s="77"/>
      <c r="C677" s="77"/>
      <c r="D677" s="77"/>
      <c r="E677" s="77"/>
      <c r="F677" s="77"/>
      <c r="G677" s="77"/>
      <c r="H677" s="77"/>
    </row>
    <row r="678" customFormat="false" ht="15.75" hidden="false" customHeight="true" outlineLevel="0" collapsed="false">
      <c r="A678" s="77"/>
      <c r="B678" s="77"/>
      <c r="C678" s="77"/>
      <c r="D678" s="77"/>
      <c r="E678" s="77"/>
      <c r="F678" s="77"/>
      <c r="G678" s="77"/>
      <c r="H678" s="77"/>
    </row>
    <row r="679" customFormat="false" ht="15.75" hidden="false" customHeight="true" outlineLevel="0" collapsed="false">
      <c r="A679" s="77"/>
      <c r="B679" s="77"/>
      <c r="C679" s="77"/>
      <c r="D679" s="77"/>
      <c r="E679" s="77"/>
      <c r="F679" s="77"/>
      <c r="G679" s="77"/>
      <c r="H679" s="77"/>
    </row>
    <row r="680" customFormat="false" ht="15.75" hidden="false" customHeight="true" outlineLevel="0" collapsed="false">
      <c r="A680" s="77"/>
      <c r="B680" s="77"/>
      <c r="C680" s="77"/>
      <c r="D680" s="77"/>
      <c r="E680" s="77"/>
      <c r="F680" s="77"/>
      <c r="G680" s="77"/>
      <c r="H680" s="77"/>
    </row>
    <row r="681" customFormat="false" ht="15.75" hidden="false" customHeight="true" outlineLevel="0" collapsed="false">
      <c r="A681" s="77"/>
      <c r="B681" s="77"/>
      <c r="C681" s="77"/>
      <c r="D681" s="77"/>
      <c r="E681" s="77"/>
      <c r="F681" s="77"/>
      <c r="G681" s="77"/>
      <c r="H681" s="77"/>
    </row>
    <row r="682" customFormat="false" ht="15.75" hidden="false" customHeight="true" outlineLevel="0" collapsed="false">
      <c r="A682" s="77"/>
      <c r="B682" s="77"/>
      <c r="C682" s="77"/>
      <c r="D682" s="77"/>
      <c r="E682" s="77"/>
      <c r="F682" s="77"/>
      <c r="G682" s="77"/>
      <c r="H682" s="77"/>
    </row>
    <row r="683" customFormat="false" ht="15.75" hidden="false" customHeight="true" outlineLevel="0" collapsed="false">
      <c r="A683" s="77"/>
      <c r="B683" s="77"/>
      <c r="C683" s="77"/>
      <c r="D683" s="77"/>
      <c r="E683" s="77"/>
      <c r="F683" s="77"/>
      <c r="G683" s="77"/>
      <c r="H683" s="77"/>
    </row>
    <row r="684" customFormat="false" ht="15.75" hidden="false" customHeight="true" outlineLevel="0" collapsed="false">
      <c r="A684" s="77"/>
      <c r="B684" s="77"/>
      <c r="C684" s="77"/>
      <c r="D684" s="77"/>
      <c r="E684" s="77"/>
      <c r="F684" s="77"/>
      <c r="G684" s="77"/>
      <c r="H684" s="77"/>
    </row>
    <row r="685" customFormat="false" ht="15.75" hidden="false" customHeight="true" outlineLevel="0" collapsed="false">
      <c r="A685" s="77"/>
      <c r="B685" s="77"/>
      <c r="C685" s="77"/>
      <c r="D685" s="77"/>
      <c r="E685" s="77"/>
      <c r="F685" s="77"/>
      <c r="G685" s="77"/>
      <c r="H685" s="77"/>
    </row>
    <row r="686" customFormat="false" ht="15.75" hidden="false" customHeight="true" outlineLevel="0" collapsed="false">
      <c r="A686" s="77"/>
      <c r="B686" s="77"/>
      <c r="C686" s="77"/>
      <c r="D686" s="77"/>
      <c r="E686" s="77"/>
      <c r="F686" s="77"/>
      <c r="G686" s="77"/>
      <c r="H686" s="77"/>
    </row>
    <row r="687" customFormat="false" ht="15.75" hidden="false" customHeight="true" outlineLevel="0" collapsed="false">
      <c r="A687" s="77"/>
      <c r="B687" s="77"/>
      <c r="C687" s="77"/>
      <c r="D687" s="77"/>
      <c r="E687" s="77"/>
      <c r="F687" s="77"/>
      <c r="G687" s="77"/>
      <c r="H687" s="77"/>
    </row>
    <row r="688" customFormat="false" ht="15.75" hidden="false" customHeight="true" outlineLevel="0" collapsed="false">
      <c r="A688" s="77"/>
      <c r="B688" s="77"/>
      <c r="C688" s="77"/>
      <c r="D688" s="77"/>
      <c r="E688" s="77"/>
      <c r="F688" s="77"/>
      <c r="G688" s="77"/>
      <c r="H688" s="77"/>
    </row>
    <row r="689" customFormat="false" ht="15.75" hidden="false" customHeight="true" outlineLevel="0" collapsed="false">
      <c r="A689" s="77"/>
      <c r="B689" s="77"/>
      <c r="C689" s="77"/>
      <c r="D689" s="77"/>
      <c r="E689" s="77"/>
      <c r="F689" s="77"/>
      <c r="G689" s="77"/>
      <c r="H689" s="77"/>
    </row>
    <row r="690" customFormat="false" ht="15.75" hidden="false" customHeight="true" outlineLevel="0" collapsed="false">
      <c r="A690" s="77"/>
      <c r="B690" s="77"/>
      <c r="C690" s="77"/>
      <c r="D690" s="77"/>
      <c r="E690" s="77"/>
      <c r="F690" s="77"/>
      <c r="G690" s="77"/>
      <c r="H690" s="77"/>
    </row>
    <row r="691" customFormat="false" ht="15.75" hidden="false" customHeight="true" outlineLevel="0" collapsed="false">
      <c r="A691" s="77"/>
      <c r="B691" s="77"/>
      <c r="C691" s="77"/>
      <c r="D691" s="77"/>
      <c r="E691" s="77"/>
      <c r="F691" s="77"/>
      <c r="G691" s="77"/>
      <c r="H691" s="77"/>
    </row>
    <row r="692" customFormat="false" ht="15.75" hidden="false" customHeight="true" outlineLevel="0" collapsed="false">
      <c r="A692" s="77"/>
      <c r="B692" s="77"/>
      <c r="C692" s="77"/>
      <c r="D692" s="77"/>
      <c r="E692" s="77"/>
      <c r="F692" s="77"/>
      <c r="G692" s="77"/>
      <c r="H692" s="77"/>
    </row>
    <row r="693" customFormat="false" ht="15.75" hidden="false" customHeight="true" outlineLevel="0" collapsed="false">
      <c r="A693" s="77"/>
      <c r="B693" s="77"/>
      <c r="C693" s="77"/>
      <c r="D693" s="77"/>
      <c r="E693" s="77"/>
      <c r="F693" s="77"/>
      <c r="G693" s="77"/>
      <c r="H693" s="77"/>
    </row>
    <row r="694" customFormat="false" ht="15.75" hidden="false" customHeight="true" outlineLevel="0" collapsed="false">
      <c r="A694" s="77"/>
      <c r="B694" s="77"/>
      <c r="C694" s="77"/>
      <c r="D694" s="77"/>
      <c r="E694" s="77"/>
      <c r="F694" s="77"/>
      <c r="G694" s="77"/>
      <c r="H694" s="77"/>
    </row>
    <row r="695" customFormat="false" ht="15.75" hidden="false" customHeight="true" outlineLevel="0" collapsed="false">
      <c r="A695" s="77"/>
      <c r="B695" s="77"/>
      <c r="C695" s="77"/>
      <c r="D695" s="77"/>
      <c r="E695" s="77"/>
      <c r="F695" s="77"/>
      <c r="G695" s="77"/>
      <c r="H695" s="77"/>
    </row>
    <row r="696" customFormat="false" ht="15.75" hidden="false" customHeight="true" outlineLevel="0" collapsed="false">
      <c r="A696" s="77"/>
      <c r="B696" s="77"/>
      <c r="C696" s="77"/>
      <c r="D696" s="77"/>
      <c r="E696" s="77"/>
      <c r="F696" s="77"/>
      <c r="G696" s="77"/>
      <c r="H696" s="77"/>
    </row>
    <row r="697" customFormat="false" ht="15.75" hidden="false" customHeight="true" outlineLevel="0" collapsed="false">
      <c r="A697" s="77"/>
      <c r="B697" s="77"/>
      <c r="C697" s="77"/>
      <c r="D697" s="77"/>
      <c r="E697" s="77"/>
      <c r="F697" s="77"/>
      <c r="G697" s="77"/>
      <c r="H697" s="77"/>
    </row>
    <row r="698" customFormat="false" ht="15.75" hidden="false" customHeight="true" outlineLevel="0" collapsed="false">
      <c r="A698" s="77"/>
      <c r="B698" s="77"/>
      <c r="C698" s="77"/>
      <c r="D698" s="77"/>
      <c r="E698" s="77"/>
      <c r="F698" s="77"/>
      <c r="G698" s="77"/>
      <c r="H698" s="77"/>
    </row>
    <row r="699" customFormat="false" ht="15.75" hidden="false" customHeight="true" outlineLevel="0" collapsed="false">
      <c r="A699" s="77"/>
      <c r="B699" s="77"/>
      <c r="C699" s="77"/>
      <c r="D699" s="77"/>
      <c r="E699" s="77"/>
      <c r="F699" s="77"/>
      <c r="G699" s="77"/>
      <c r="H699" s="77"/>
    </row>
    <row r="700" customFormat="false" ht="15.75" hidden="false" customHeight="true" outlineLevel="0" collapsed="false">
      <c r="A700" s="77"/>
      <c r="B700" s="77"/>
      <c r="C700" s="77"/>
      <c r="D700" s="77"/>
      <c r="E700" s="77"/>
      <c r="F700" s="77"/>
      <c r="G700" s="77"/>
      <c r="H700" s="77"/>
    </row>
    <row r="701" customFormat="false" ht="15.75" hidden="false" customHeight="true" outlineLevel="0" collapsed="false">
      <c r="A701" s="77"/>
      <c r="B701" s="77"/>
      <c r="C701" s="77"/>
      <c r="D701" s="77"/>
      <c r="E701" s="77"/>
      <c r="F701" s="77"/>
      <c r="G701" s="77"/>
      <c r="H701" s="77"/>
    </row>
    <row r="702" customFormat="false" ht="15.75" hidden="false" customHeight="true" outlineLevel="0" collapsed="false">
      <c r="A702" s="77"/>
      <c r="B702" s="77"/>
      <c r="C702" s="77"/>
      <c r="D702" s="77"/>
      <c r="E702" s="77"/>
      <c r="F702" s="77"/>
      <c r="G702" s="77"/>
      <c r="H702" s="77"/>
    </row>
    <row r="703" customFormat="false" ht="15.75" hidden="false" customHeight="true" outlineLevel="0" collapsed="false">
      <c r="A703" s="77"/>
      <c r="B703" s="77"/>
      <c r="C703" s="77"/>
      <c r="D703" s="77"/>
      <c r="E703" s="77"/>
      <c r="F703" s="77"/>
      <c r="G703" s="77"/>
      <c r="H703" s="77"/>
    </row>
    <row r="704" customFormat="false" ht="15.75" hidden="false" customHeight="true" outlineLevel="0" collapsed="false">
      <c r="A704" s="77"/>
      <c r="B704" s="77"/>
      <c r="C704" s="77"/>
      <c r="D704" s="77"/>
      <c r="E704" s="77"/>
      <c r="F704" s="77"/>
      <c r="G704" s="77"/>
      <c r="H704" s="77"/>
    </row>
    <row r="705" customFormat="false" ht="15.75" hidden="false" customHeight="true" outlineLevel="0" collapsed="false">
      <c r="A705" s="77"/>
      <c r="B705" s="77"/>
      <c r="C705" s="77"/>
      <c r="D705" s="77"/>
      <c r="E705" s="77"/>
      <c r="F705" s="77"/>
      <c r="G705" s="77"/>
      <c r="H705" s="77"/>
    </row>
    <row r="706" customFormat="false" ht="15.75" hidden="false" customHeight="true" outlineLevel="0" collapsed="false">
      <c r="A706" s="77"/>
      <c r="B706" s="77"/>
      <c r="C706" s="77"/>
      <c r="D706" s="77"/>
      <c r="E706" s="77"/>
      <c r="F706" s="77"/>
      <c r="G706" s="77"/>
      <c r="H706" s="77"/>
    </row>
    <row r="707" customFormat="false" ht="15.75" hidden="false" customHeight="true" outlineLevel="0" collapsed="false">
      <c r="A707" s="77"/>
      <c r="B707" s="77"/>
      <c r="C707" s="77"/>
      <c r="D707" s="77"/>
      <c r="E707" s="77"/>
      <c r="F707" s="77"/>
      <c r="G707" s="77"/>
      <c r="H707" s="77"/>
    </row>
    <row r="708" customFormat="false" ht="15.75" hidden="false" customHeight="true" outlineLevel="0" collapsed="false">
      <c r="A708" s="77"/>
      <c r="B708" s="77"/>
      <c r="C708" s="77"/>
      <c r="D708" s="77"/>
      <c r="E708" s="77"/>
      <c r="F708" s="77"/>
      <c r="G708" s="77"/>
      <c r="H708" s="77"/>
    </row>
    <row r="709" customFormat="false" ht="15.75" hidden="false" customHeight="true" outlineLevel="0" collapsed="false">
      <c r="A709" s="77"/>
      <c r="B709" s="77"/>
      <c r="C709" s="77"/>
      <c r="D709" s="77"/>
      <c r="E709" s="77"/>
      <c r="F709" s="77"/>
      <c r="G709" s="77"/>
      <c r="H709" s="77"/>
    </row>
    <row r="710" customFormat="false" ht="15.75" hidden="false" customHeight="true" outlineLevel="0" collapsed="false">
      <c r="A710" s="77"/>
      <c r="B710" s="77"/>
      <c r="C710" s="77"/>
      <c r="D710" s="77"/>
      <c r="E710" s="77"/>
      <c r="F710" s="77"/>
      <c r="G710" s="77"/>
      <c r="H710" s="77"/>
    </row>
    <row r="711" customFormat="false" ht="15.75" hidden="false" customHeight="true" outlineLevel="0" collapsed="false">
      <c r="A711" s="77"/>
      <c r="B711" s="77"/>
      <c r="C711" s="77"/>
      <c r="D711" s="77"/>
      <c r="E711" s="77"/>
      <c r="F711" s="77"/>
      <c r="G711" s="77"/>
      <c r="H711" s="77"/>
    </row>
    <row r="712" customFormat="false" ht="15.75" hidden="false" customHeight="true" outlineLevel="0" collapsed="false">
      <c r="A712" s="77"/>
      <c r="B712" s="77"/>
      <c r="C712" s="77"/>
      <c r="D712" s="77"/>
      <c r="E712" s="77"/>
      <c r="F712" s="77"/>
      <c r="G712" s="77"/>
      <c r="H712" s="77"/>
    </row>
    <row r="713" customFormat="false" ht="15.75" hidden="false" customHeight="true" outlineLevel="0" collapsed="false">
      <c r="A713" s="77"/>
      <c r="B713" s="77"/>
      <c r="C713" s="77"/>
      <c r="D713" s="77"/>
      <c r="E713" s="77"/>
      <c r="F713" s="77"/>
      <c r="G713" s="77"/>
      <c r="H713" s="77"/>
    </row>
    <row r="714" customFormat="false" ht="15.75" hidden="false" customHeight="true" outlineLevel="0" collapsed="false">
      <c r="A714" s="77"/>
      <c r="B714" s="77"/>
      <c r="C714" s="77"/>
      <c r="D714" s="77"/>
      <c r="E714" s="77"/>
      <c r="F714" s="77"/>
      <c r="G714" s="77"/>
      <c r="H714" s="77"/>
    </row>
    <row r="715" customFormat="false" ht="15.75" hidden="false" customHeight="true" outlineLevel="0" collapsed="false">
      <c r="A715" s="77"/>
      <c r="B715" s="77"/>
      <c r="C715" s="77"/>
      <c r="D715" s="77"/>
      <c r="E715" s="77"/>
      <c r="F715" s="77"/>
      <c r="G715" s="77"/>
      <c r="H715" s="77"/>
    </row>
    <row r="716" customFormat="false" ht="15.75" hidden="false" customHeight="true" outlineLevel="0" collapsed="false">
      <c r="A716" s="77"/>
      <c r="B716" s="77"/>
      <c r="C716" s="77"/>
      <c r="D716" s="77"/>
      <c r="E716" s="77"/>
      <c r="F716" s="77"/>
      <c r="G716" s="77"/>
      <c r="H716" s="77"/>
    </row>
    <row r="717" customFormat="false" ht="15.75" hidden="false" customHeight="true" outlineLevel="0" collapsed="false">
      <c r="A717" s="77"/>
      <c r="B717" s="77"/>
      <c r="C717" s="77"/>
      <c r="D717" s="77"/>
      <c r="E717" s="77"/>
      <c r="F717" s="77"/>
      <c r="G717" s="77"/>
      <c r="H717" s="77"/>
    </row>
    <row r="718" customFormat="false" ht="15.75" hidden="false" customHeight="true" outlineLevel="0" collapsed="false">
      <c r="A718" s="77"/>
      <c r="B718" s="77"/>
      <c r="C718" s="77"/>
      <c r="D718" s="77"/>
      <c r="E718" s="77"/>
      <c r="F718" s="77"/>
      <c r="G718" s="77"/>
      <c r="H718" s="77"/>
    </row>
    <row r="719" customFormat="false" ht="15.75" hidden="false" customHeight="true" outlineLevel="0" collapsed="false">
      <c r="A719" s="77"/>
      <c r="B719" s="77"/>
      <c r="C719" s="77"/>
      <c r="D719" s="77"/>
      <c r="E719" s="77"/>
      <c r="F719" s="77"/>
      <c r="G719" s="77"/>
      <c r="H719" s="77"/>
    </row>
    <row r="720" customFormat="false" ht="15.75" hidden="false" customHeight="true" outlineLevel="0" collapsed="false">
      <c r="A720" s="77"/>
      <c r="B720" s="77"/>
      <c r="C720" s="77"/>
      <c r="D720" s="77"/>
      <c r="E720" s="77"/>
      <c r="F720" s="77"/>
      <c r="G720" s="77"/>
      <c r="H720" s="77"/>
    </row>
    <row r="721" customFormat="false" ht="15.75" hidden="false" customHeight="true" outlineLevel="0" collapsed="false">
      <c r="A721" s="77"/>
      <c r="B721" s="77"/>
      <c r="C721" s="77"/>
      <c r="D721" s="77"/>
      <c r="E721" s="77"/>
      <c r="F721" s="77"/>
      <c r="G721" s="77"/>
      <c r="H721" s="77"/>
    </row>
    <row r="722" customFormat="false" ht="15.75" hidden="false" customHeight="true" outlineLevel="0" collapsed="false">
      <c r="A722" s="77"/>
      <c r="B722" s="77"/>
      <c r="C722" s="77"/>
      <c r="D722" s="77"/>
      <c r="E722" s="77"/>
      <c r="F722" s="77"/>
      <c r="G722" s="77"/>
      <c r="H722" s="77"/>
    </row>
    <row r="723" customFormat="false" ht="15.75" hidden="false" customHeight="true" outlineLevel="0" collapsed="false">
      <c r="A723" s="77"/>
      <c r="B723" s="77"/>
      <c r="C723" s="77"/>
      <c r="D723" s="77"/>
      <c r="E723" s="77"/>
      <c r="F723" s="77"/>
      <c r="G723" s="77"/>
      <c r="H723" s="77"/>
    </row>
    <row r="724" customFormat="false" ht="15.75" hidden="false" customHeight="true" outlineLevel="0" collapsed="false">
      <c r="A724" s="77"/>
      <c r="B724" s="77"/>
      <c r="C724" s="77"/>
      <c r="D724" s="77"/>
      <c r="E724" s="77"/>
      <c r="F724" s="77"/>
      <c r="G724" s="77"/>
      <c r="H724" s="77"/>
    </row>
    <row r="725" customFormat="false" ht="15.75" hidden="false" customHeight="true" outlineLevel="0" collapsed="false">
      <c r="A725" s="77"/>
      <c r="B725" s="77"/>
      <c r="C725" s="77"/>
      <c r="D725" s="77"/>
      <c r="E725" s="77"/>
      <c r="F725" s="77"/>
      <c r="G725" s="77"/>
      <c r="H725" s="77"/>
    </row>
    <row r="726" customFormat="false" ht="15.75" hidden="false" customHeight="true" outlineLevel="0" collapsed="false">
      <c r="A726" s="77"/>
      <c r="B726" s="77"/>
      <c r="C726" s="77"/>
      <c r="D726" s="77"/>
      <c r="E726" s="77"/>
      <c r="F726" s="77"/>
      <c r="G726" s="77"/>
      <c r="H726" s="77"/>
    </row>
    <row r="727" customFormat="false" ht="15.75" hidden="false" customHeight="true" outlineLevel="0" collapsed="false">
      <c r="A727" s="77"/>
      <c r="B727" s="77"/>
      <c r="C727" s="77"/>
      <c r="D727" s="77"/>
      <c r="E727" s="77"/>
      <c r="F727" s="77"/>
      <c r="G727" s="77"/>
      <c r="H727" s="77"/>
    </row>
    <row r="728" customFormat="false" ht="15.75" hidden="false" customHeight="true" outlineLevel="0" collapsed="false">
      <c r="A728" s="77"/>
      <c r="B728" s="77"/>
      <c r="C728" s="77"/>
      <c r="D728" s="77"/>
      <c r="E728" s="77"/>
      <c r="F728" s="77"/>
      <c r="G728" s="77"/>
      <c r="H728" s="77"/>
    </row>
    <row r="729" customFormat="false" ht="15.75" hidden="false" customHeight="true" outlineLevel="0" collapsed="false">
      <c r="A729" s="77"/>
      <c r="B729" s="77"/>
      <c r="C729" s="77"/>
      <c r="D729" s="77"/>
      <c r="E729" s="77"/>
      <c r="F729" s="77"/>
      <c r="G729" s="77"/>
      <c r="H729" s="77"/>
    </row>
    <row r="730" customFormat="false" ht="15.75" hidden="false" customHeight="true" outlineLevel="0" collapsed="false">
      <c r="A730" s="77"/>
      <c r="B730" s="77"/>
      <c r="C730" s="77"/>
      <c r="D730" s="77"/>
      <c r="E730" s="77"/>
      <c r="F730" s="77"/>
      <c r="G730" s="77"/>
      <c r="H730" s="77"/>
    </row>
    <row r="731" customFormat="false" ht="15.75" hidden="false" customHeight="true" outlineLevel="0" collapsed="false">
      <c r="A731" s="77"/>
      <c r="B731" s="77"/>
      <c r="C731" s="77"/>
      <c r="D731" s="77"/>
      <c r="E731" s="77"/>
      <c r="F731" s="77"/>
      <c r="G731" s="77"/>
      <c r="H731" s="77"/>
    </row>
    <row r="732" customFormat="false" ht="15.75" hidden="false" customHeight="true" outlineLevel="0" collapsed="false">
      <c r="A732" s="77"/>
      <c r="B732" s="77"/>
      <c r="C732" s="77"/>
      <c r="D732" s="77"/>
      <c r="E732" s="77"/>
      <c r="F732" s="77"/>
      <c r="G732" s="77"/>
      <c r="H732" s="77"/>
    </row>
    <row r="733" customFormat="false" ht="15.75" hidden="false" customHeight="true" outlineLevel="0" collapsed="false">
      <c r="A733" s="77"/>
      <c r="B733" s="77"/>
      <c r="C733" s="77"/>
      <c r="D733" s="77"/>
      <c r="E733" s="77"/>
      <c r="F733" s="77"/>
      <c r="G733" s="77"/>
      <c r="H733" s="77"/>
    </row>
    <row r="734" customFormat="false" ht="15.75" hidden="false" customHeight="true" outlineLevel="0" collapsed="false">
      <c r="A734" s="77"/>
      <c r="B734" s="77"/>
      <c r="C734" s="77"/>
      <c r="D734" s="77"/>
      <c r="E734" s="77"/>
      <c r="F734" s="77"/>
      <c r="G734" s="77"/>
      <c r="H734" s="77"/>
    </row>
    <row r="735" customFormat="false" ht="15.75" hidden="false" customHeight="true" outlineLevel="0" collapsed="false">
      <c r="A735" s="77"/>
      <c r="B735" s="77"/>
      <c r="C735" s="77"/>
      <c r="D735" s="77"/>
      <c r="E735" s="77"/>
      <c r="F735" s="77"/>
      <c r="G735" s="77"/>
      <c r="H735" s="77"/>
    </row>
    <row r="736" customFormat="false" ht="15.75" hidden="false" customHeight="true" outlineLevel="0" collapsed="false">
      <c r="A736" s="77"/>
      <c r="B736" s="77"/>
      <c r="C736" s="77"/>
      <c r="D736" s="77"/>
      <c r="E736" s="77"/>
      <c r="F736" s="77"/>
      <c r="G736" s="77"/>
      <c r="H736" s="77"/>
    </row>
    <row r="737" customFormat="false" ht="15.75" hidden="false" customHeight="true" outlineLevel="0" collapsed="false">
      <c r="A737" s="77"/>
      <c r="B737" s="77"/>
      <c r="C737" s="77"/>
      <c r="D737" s="77"/>
      <c r="E737" s="77"/>
      <c r="F737" s="77"/>
      <c r="G737" s="77"/>
      <c r="H737" s="77"/>
    </row>
    <row r="738" customFormat="false" ht="15.75" hidden="false" customHeight="true" outlineLevel="0" collapsed="false">
      <c r="A738" s="77"/>
      <c r="B738" s="77"/>
      <c r="C738" s="77"/>
      <c r="D738" s="77"/>
      <c r="E738" s="77"/>
      <c r="F738" s="77"/>
      <c r="G738" s="77"/>
      <c r="H738" s="77"/>
    </row>
    <row r="739" customFormat="false" ht="15.75" hidden="false" customHeight="true" outlineLevel="0" collapsed="false">
      <c r="A739" s="77"/>
      <c r="B739" s="77"/>
      <c r="C739" s="77"/>
      <c r="D739" s="77"/>
      <c r="E739" s="77"/>
      <c r="F739" s="77"/>
      <c r="G739" s="77"/>
      <c r="H739" s="77"/>
    </row>
    <row r="740" customFormat="false" ht="15.75" hidden="false" customHeight="true" outlineLevel="0" collapsed="false">
      <c r="A740" s="77"/>
      <c r="B740" s="77"/>
      <c r="C740" s="77"/>
      <c r="D740" s="77"/>
      <c r="E740" s="77"/>
      <c r="F740" s="77"/>
      <c r="G740" s="77"/>
      <c r="H740" s="77"/>
    </row>
    <row r="741" customFormat="false" ht="15.75" hidden="false" customHeight="true" outlineLevel="0" collapsed="false">
      <c r="A741" s="77"/>
      <c r="B741" s="77"/>
      <c r="C741" s="77"/>
      <c r="D741" s="77"/>
      <c r="E741" s="77"/>
      <c r="F741" s="77"/>
      <c r="G741" s="77"/>
      <c r="H741" s="77"/>
    </row>
    <row r="742" customFormat="false" ht="15.75" hidden="false" customHeight="true" outlineLevel="0" collapsed="false">
      <c r="A742" s="77"/>
      <c r="B742" s="77"/>
      <c r="C742" s="77"/>
      <c r="D742" s="77"/>
      <c r="E742" s="77"/>
      <c r="F742" s="77"/>
      <c r="G742" s="77"/>
      <c r="H742" s="77"/>
    </row>
    <row r="743" customFormat="false" ht="15.75" hidden="false" customHeight="true" outlineLevel="0" collapsed="false">
      <c r="A743" s="77"/>
      <c r="B743" s="77"/>
      <c r="C743" s="77"/>
      <c r="D743" s="77"/>
      <c r="E743" s="77"/>
      <c r="F743" s="77"/>
      <c r="G743" s="77"/>
      <c r="H743" s="77"/>
    </row>
    <row r="744" customFormat="false" ht="15.75" hidden="false" customHeight="true" outlineLevel="0" collapsed="false">
      <c r="A744" s="77"/>
      <c r="B744" s="77"/>
      <c r="C744" s="77"/>
      <c r="D744" s="77"/>
      <c r="E744" s="77"/>
      <c r="F744" s="77"/>
      <c r="G744" s="77"/>
      <c r="H744" s="77"/>
    </row>
    <row r="745" customFormat="false" ht="15.75" hidden="false" customHeight="true" outlineLevel="0" collapsed="false">
      <c r="A745" s="77"/>
      <c r="B745" s="77"/>
      <c r="C745" s="77"/>
      <c r="D745" s="77"/>
      <c r="E745" s="77"/>
      <c r="F745" s="77"/>
      <c r="G745" s="77"/>
      <c r="H745" s="77"/>
    </row>
    <row r="746" customFormat="false" ht="15.75" hidden="false" customHeight="true" outlineLevel="0" collapsed="false">
      <c r="A746" s="77"/>
      <c r="B746" s="77"/>
      <c r="C746" s="77"/>
      <c r="D746" s="77"/>
      <c r="E746" s="77"/>
      <c r="F746" s="77"/>
      <c r="G746" s="77"/>
      <c r="H746" s="77"/>
    </row>
    <row r="747" customFormat="false" ht="15.75" hidden="false" customHeight="true" outlineLevel="0" collapsed="false">
      <c r="A747" s="77"/>
      <c r="B747" s="77"/>
      <c r="C747" s="77"/>
      <c r="D747" s="77"/>
      <c r="E747" s="77"/>
      <c r="F747" s="77"/>
      <c r="G747" s="77"/>
      <c r="H747" s="77"/>
    </row>
    <row r="748" customFormat="false" ht="15.75" hidden="false" customHeight="true" outlineLevel="0" collapsed="false">
      <c r="A748" s="77"/>
      <c r="B748" s="77"/>
      <c r="C748" s="77"/>
      <c r="D748" s="77"/>
      <c r="E748" s="77"/>
      <c r="F748" s="77"/>
      <c r="G748" s="77"/>
      <c r="H748" s="77"/>
    </row>
    <row r="749" customFormat="false" ht="15.75" hidden="false" customHeight="true" outlineLevel="0" collapsed="false">
      <c r="A749" s="77"/>
      <c r="B749" s="77"/>
      <c r="C749" s="77"/>
      <c r="D749" s="77"/>
      <c r="E749" s="77"/>
      <c r="F749" s="77"/>
      <c r="G749" s="77"/>
      <c r="H749" s="77"/>
    </row>
    <row r="750" customFormat="false" ht="15.75" hidden="false" customHeight="true" outlineLevel="0" collapsed="false">
      <c r="A750" s="77"/>
      <c r="B750" s="77"/>
      <c r="C750" s="77"/>
      <c r="D750" s="77"/>
      <c r="E750" s="77"/>
      <c r="F750" s="77"/>
      <c r="G750" s="77"/>
      <c r="H750" s="77"/>
    </row>
    <row r="751" customFormat="false" ht="15.75" hidden="false" customHeight="true" outlineLevel="0" collapsed="false">
      <c r="A751" s="77"/>
      <c r="B751" s="77"/>
      <c r="C751" s="77"/>
      <c r="D751" s="77"/>
      <c r="E751" s="77"/>
      <c r="F751" s="77"/>
      <c r="G751" s="77"/>
      <c r="H751" s="77"/>
    </row>
    <row r="752" customFormat="false" ht="15.75" hidden="false" customHeight="true" outlineLevel="0" collapsed="false">
      <c r="A752" s="77"/>
      <c r="B752" s="77"/>
      <c r="C752" s="77"/>
      <c r="D752" s="77"/>
      <c r="E752" s="77"/>
      <c r="F752" s="77"/>
      <c r="G752" s="77"/>
      <c r="H752" s="77"/>
    </row>
    <row r="753" customFormat="false" ht="15.75" hidden="false" customHeight="true" outlineLevel="0" collapsed="false">
      <c r="A753" s="77"/>
      <c r="B753" s="77"/>
      <c r="C753" s="77"/>
      <c r="D753" s="77"/>
      <c r="E753" s="77"/>
      <c r="F753" s="77"/>
      <c r="G753" s="77"/>
      <c r="H753" s="77"/>
    </row>
    <row r="754" customFormat="false" ht="15.75" hidden="false" customHeight="true" outlineLevel="0" collapsed="false">
      <c r="A754" s="77"/>
      <c r="B754" s="77"/>
      <c r="C754" s="77"/>
      <c r="D754" s="77"/>
      <c r="E754" s="77"/>
      <c r="F754" s="77"/>
      <c r="G754" s="77"/>
      <c r="H754" s="77"/>
    </row>
    <row r="755" customFormat="false" ht="15.75" hidden="false" customHeight="true" outlineLevel="0" collapsed="false">
      <c r="A755" s="77"/>
      <c r="B755" s="77"/>
      <c r="C755" s="77"/>
      <c r="D755" s="77"/>
      <c r="E755" s="77"/>
      <c r="F755" s="77"/>
      <c r="G755" s="77"/>
      <c r="H755" s="77"/>
    </row>
    <row r="756" customFormat="false" ht="15.75" hidden="false" customHeight="true" outlineLevel="0" collapsed="false">
      <c r="A756" s="77"/>
      <c r="B756" s="77"/>
      <c r="C756" s="77"/>
      <c r="D756" s="77"/>
      <c r="E756" s="77"/>
      <c r="F756" s="77"/>
      <c r="G756" s="77"/>
      <c r="H756" s="77"/>
    </row>
    <row r="757" customFormat="false" ht="15.75" hidden="false" customHeight="true" outlineLevel="0" collapsed="false">
      <c r="A757" s="77"/>
      <c r="B757" s="77"/>
      <c r="C757" s="77"/>
      <c r="D757" s="77"/>
      <c r="E757" s="77"/>
      <c r="F757" s="77"/>
      <c r="G757" s="77"/>
      <c r="H757" s="77"/>
    </row>
    <row r="758" customFormat="false" ht="15.75" hidden="false" customHeight="true" outlineLevel="0" collapsed="false">
      <c r="A758" s="77"/>
      <c r="B758" s="77"/>
      <c r="C758" s="77"/>
      <c r="D758" s="77"/>
      <c r="E758" s="77"/>
      <c r="F758" s="77"/>
      <c r="G758" s="77"/>
      <c r="H758" s="77"/>
    </row>
    <row r="759" customFormat="false" ht="15.75" hidden="false" customHeight="true" outlineLevel="0" collapsed="false">
      <c r="A759" s="77"/>
      <c r="B759" s="77"/>
      <c r="C759" s="77"/>
      <c r="D759" s="77"/>
      <c r="E759" s="77"/>
      <c r="F759" s="77"/>
      <c r="G759" s="77"/>
      <c r="H759" s="77"/>
    </row>
    <row r="760" customFormat="false" ht="15.75" hidden="false" customHeight="true" outlineLevel="0" collapsed="false">
      <c r="A760" s="77"/>
      <c r="B760" s="77"/>
      <c r="C760" s="77"/>
      <c r="D760" s="77"/>
      <c r="E760" s="77"/>
      <c r="F760" s="77"/>
      <c r="G760" s="77"/>
      <c r="H760" s="77"/>
    </row>
    <row r="761" customFormat="false" ht="15.75" hidden="false" customHeight="true" outlineLevel="0" collapsed="false">
      <c r="A761" s="77"/>
      <c r="B761" s="77"/>
      <c r="C761" s="77"/>
      <c r="D761" s="77"/>
      <c r="E761" s="77"/>
      <c r="F761" s="77"/>
      <c r="G761" s="77"/>
      <c r="H761" s="77"/>
    </row>
    <row r="762" customFormat="false" ht="15.75" hidden="false" customHeight="true" outlineLevel="0" collapsed="false">
      <c r="A762" s="77"/>
      <c r="B762" s="77"/>
      <c r="C762" s="77"/>
      <c r="D762" s="77"/>
      <c r="E762" s="77"/>
      <c r="F762" s="77"/>
      <c r="G762" s="77"/>
      <c r="H762" s="77"/>
    </row>
    <row r="763" customFormat="false" ht="15.75" hidden="false" customHeight="true" outlineLevel="0" collapsed="false">
      <c r="A763" s="77"/>
      <c r="B763" s="77"/>
      <c r="C763" s="77"/>
      <c r="D763" s="77"/>
      <c r="E763" s="77"/>
      <c r="F763" s="77"/>
      <c r="G763" s="77"/>
      <c r="H763" s="77"/>
    </row>
    <row r="764" customFormat="false" ht="15.75" hidden="false" customHeight="true" outlineLevel="0" collapsed="false">
      <c r="A764" s="77"/>
      <c r="B764" s="77"/>
      <c r="C764" s="77"/>
      <c r="D764" s="77"/>
      <c r="E764" s="77"/>
      <c r="F764" s="77"/>
      <c r="G764" s="77"/>
      <c r="H764" s="77"/>
    </row>
    <row r="765" customFormat="false" ht="15.75" hidden="false" customHeight="true" outlineLevel="0" collapsed="false">
      <c r="A765" s="77"/>
      <c r="B765" s="77"/>
      <c r="C765" s="77"/>
      <c r="D765" s="77"/>
      <c r="E765" s="77"/>
      <c r="F765" s="77"/>
      <c r="G765" s="77"/>
      <c r="H765" s="77"/>
    </row>
    <row r="766" customFormat="false" ht="15.75" hidden="false" customHeight="true" outlineLevel="0" collapsed="false">
      <c r="A766" s="77"/>
      <c r="B766" s="77"/>
      <c r="C766" s="77"/>
      <c r="D766" s="77"/>
      <c r="E766" s="77"/>
      <c r="F766" s="77"/>
      <c r="G766" s="77"/>
      <c r="H766" s="77"/>
    </row>
    <row r="767" customFormat="false" ht="15.75" hidden="false" customHeight="true" outlineLevel="0" collapsed="false">
      <c r="A767" s="77"/>
      <c r="B767" s="77"/>
      <c r="C767" s="77"/>
      <c r="D767" s="77"/>
      <c r="E767" s="77"/>
      <c r="F767" s="77"/>
      <c r="G767" s="77"/>
      <c r="H767" s="77"/>
    </row>
    <row r="768" customFormat="false" ht="15.75" hidden="false" customHeight="true" outlineLevel="0" collapsed="false">
      <c r="A768" s="77"/>
      <c r="B768" s="77"/>
      <c r="C768" s="77"/>
      <c r="D768" s="77"/>
      <c r="E768" s="77"/>
      <c r="F768" s="77"/>
      <c r="G768" s="77"/>
      <c r="H768" s="77"/>
    </row>
    <row r="769" customFormat="false" ht="15.75" hidden="false" customHeight="true" outlineLevel="0" collapsed="false">
      <c r="A769" s="77"/>
      <c r="B769" s="77"/>
      <c r="C769" s="77"/>
      <c r="D769" s="77"/>
      <c r="E769" s="77"/>
      <c r="F769" s="77"/>
      <c r="G769" s="77"/>
      <c r="H769" s="77"/>
    </row>
    <row r="770" customFormat="false" ht="15.75" hidden="false" customHeight="true" outlineLevel="0" collapsed="false">
      <c r="A770" s="77"/>
      <c r="B770" s="77"/>
      <c r="C770" s="77"/>
      <c r="D770" s="77"/>
      <c r="E770" s="77"/>
      <c r="F770" s="77"/>
      <c r="G770" s="77"/>
      <c r="H770" s="77"/>
    </row>
    <row r="771" customFormat="false" ht="15.75" hidden="false" customHeight="true" outlineLevel="0" collapsed="false">
      <c r="A771" s="77"/>
      <c r="B771" s="77"/>
      <c r="C771" s="77"/>
      <c r="D771" s="77"/>
      <c r="E771" s="77"/>
      <c r="F771" s="77"/>
      <c r="G771" s="77"/>
      <c r="H771" s="77"/>
    </row>
    <row r="772" customFormat="false" ht="15.75" hidden="false" customHeight="true" outlineLevel="0" collapsed="false">
      <c r="A772" s="77"/>
      <c r="B772" s="77"/>
      <c r="C772" s="77"/>
      <c r="D772" s="77"/>
      <c r="E772" s="77"/>
      <c r="F772" s="77"/>
      <c r="G772" s="77"/>
      <c r="H772" s="77"/>
    </row>
    <row r="773" customFormat="false" ht="15.75" hidden="false" customHeight="true" outlineLevel="0" collapsed="false">
      <c r="A773" s="77"/>
      <c r="B773" s="77"/>
      <c r="C773" s="77"/>
      <c r="D773" s="77"/>
      <c r="E773" s="77"/>
      <c r="F773" s="77"/>
      <c r="G773" s="77"/>
      <c r="H773" s="77"/>
    </row>
    <row r="774" customFormat="false" ht="15.75" hidden="false" customHeight="true" outlineLevel="0" collapsed="false">
      <c r="A774" s="77"/>
      <c r="B774" s="77"/>
      <c r="C774" s="77"/>
      <c r="D774" s="77"/>
      <c r="E774" s="77"/>
      <c r="F774" s="77"/>
      <c r="G774" s="77"/>
      <c r="H774" s="77"/>
    </row>
    <row r="775" customFormat="false" ht="15.75" hidden="false" customHeight="true" outlineLevel="0" collapsed="false">
      <c r="A775" s="77"/>
      <c r="B775" s="77"/>
      <c r="C775" s="77"/>
      <c r="D775" s="77"/>
      <c r="E775" s="77"/>
      <c r="F775" s="77"/>
      <c r="G775" s="77"/>
      <c r="H775" s="77"/>
    </row>
    <row r="776" customFormat="false" ht="15.75" hidden="false" customHeight="true" outlineLevel="0" collapsed="false">
      <c r="A776" s="77"/>
      <c r="B776" s="77"/>
      <c r="C776" s="77"/>
      <c r="D776" s="77"/>
      <c r="E776" s="77"/>
      <c r="F776" s="77"/>
      <c r="G776" s="77"/>
      <c r="H776" s="77"/>
    </row>
    <row r="777" customFormat="false" ht="15.75" hidden="false" customHeight="true" outlineLevel="0" collapsed="false">
      <c r="A777" s="77"/>
      <c r="B777" s="77"/>
      <c r="C777" s="77"/>
      <c r="D777" s="77"/>
      <c r="E777" s="77"/>
      <c r="F777" s="77"/>
      <c r="G777" s="77"/>
      <c r="H777" s="77"/>
    </row>
    <row r="778" customFormat="false" ht="15.75" hidden="false" customHeight="true" outlineLevel="0" collapsed="false">
      <c r="A778" s="77"/>
      <c r="B778" s="77"/>
      <c r="C778" s="77"/>
      <c r="D778" s="77"/>
      <c r="E778" s="77"/>
      <c r="F778" s="77"/>
      <c r="G778" s="77"/>
      <c r="H778" s="77"/>
    </row>
    <row r="779" customFormat="false" ht="15.75" hidden="false" customHeight="true" outlineLevel="0" collapsed="false">
      <c r="A779" s="77"/>
      <c r="B779" s="77"/>
      <c r="C779" s="77"/>
      <c r="D779" s="77"/>
      <c r="E779" s="77"/>
      <c r="F779" s="77"/>
      <c r="G779" s="77"/>
      <c r="H779" s="77"/>
    </row>
    <row r="780" customFormat="false" ht="15.75" hidden="false" customHeight="true" outlineLevel="0" collapsed="false">
      <c r="A780" s="77"/>
      <c r="B780" s="77"/>
      <c r="C780" s="77"/>
      <c r="D780" s="77"/>
      <c r="E780" s="77"/>
      <c r="F780" s="77"/>
      <c r="G780" s="77"/>
      <c r="H780" s="77"/>
    </row>
    <row r="781" customFormat="false" ht="15.75" hidden="false" customHeight="true" outlineLevel="0" collapsed="false">
      <c r="A781" s="77"/>
      <c r="B781" s="77"/>
      <c r="C781" s="77"/>
      <c r="D781" s="77"/>
      <c r="E781" s="77"/>
      <c r="F781" s="77"/>
      <c r="G781" s="77"/>
      <c r="H781" s="77"/>
    </row>
    <row r="782" customFormat="false" ht="15.75" hidden="false" customHeight="true" outlineLevel="0" collapsed="false">
      <c r="A782" s="77"/>
      <c r="B782" s="77"/>
      <c r="C782" s="77"/>
      <c r="D782" s="77"/>
      <c r="E782" s="77"/>
      <c r="F782" s="77"/>
      <c r="G782" s="77"/>
      <c r="H782" s="77"/>
    </row>
    <row r="783" customFormat="false" ht="15.75" hidden="false" customHeight="true" outlineLevel="0" collapsed="false">
      <c r="A783" s="77"/>
      <c r="B783" s="77"/>
      <c r="C783" s="77"/>
      <c r="D783" s="77"/>
      <c r="E783" s="77"/>
      <c r="F783" s="77"/>
      <c r="G783" s="77"/>
      <c r="H783" s="77"/>
    </row>
    <row r="784" customFormat="false" ht="15.75" hidden="false" customHeight="true" outlineLevel="0" collapsed="false">
      <c r="A784" s="77"/>
      <c r="B784" s="77"/>
      <c r="C784" s="77"/>
      <c r="D784" s="77"/>
      <c r="E784" s="77"/>
      <c r="F784" s="77"/>
      <c r="G784" s="77"/>
      <c r="H784" s="77"/>
    </row>
    <row r="785" customFormat="false" ht="15.75" hidden="false" customHeight="true" outlineLevel="0" collapsed="false">
      <c r="A785" s="77"/>
      <c r="B785" s="77"/>
      <c r="C785" s="77"/>
      <c r="D785" s="77"/>
      <c r="E785" s="77"/>
      <c r="F785" s="77"/>
      <c r="G785" s="77"/>
      <c r="H785" s="77"/>
    </row>
    <row r="786" customFormat="false" ht="15.75" hidden="false" customHeight="true" outlineLevel="0" collapsed="false">
      <c r="A786" s="77"/>
      <c r="B786" s="77"/>
      <c r="C786" s="77"/>
      <c r="D786" s="77"/>
      <c r="E786" s="77"/>
      <c r="F786" s="77"/>
      <c r="G786" s="77"/>
      <c r="H786" s="77"/>
    </row>
    <row r="787" customFormat="false" ht="15.75" hidden="false" customHeight="true" outlineLevel="0" collapsed="false">
      <c r="A787" s="77"/>
      <c r="B787" s="77"/>
      <c r="C787" s="77"/>
      <c r="D787" s="77"/>
      <c r="E787" s="77"/>
      <c r="F787" s="77"/>
      <c r="G787" s="77"/>
      <c r="H787" s="77"/>
    </row>
    <row r="788" customFormat="false" ht="15.75" hidden="false" customHeight="true" outlineLevel="0" collapsed="false">
      <c r="A788" s="77"/>
      <c r="B788" s="77"/>
      <c r="C788" s="77"/>
      <c r="D788" s="77"/>
      <c r="E788" s="77"/>
      <c r="F788" s="77"/>
      <c r="G788" s="77"/>
      <c r="H788" s="77"/>
    </row>
    <row r="789" customFormat="false" ht="15.75" hidden="false" customHeight="true" outlineLevel="0" collapsed="false">
      <c r="A789" s="77"/>
      <c r="B789" s="77"/>
      <c r="C789" s="77"/>
      <c r="D789" s="77"/>
      <c r="E789" s="77"/>
      <c r="F789" s="77"/>
      <c r="G789" s="77"/>
      <c r="H789" s="77"/>
    </row>
    <row r="790" customFormat="false" ht="15.75" hidden="false" customHeight="true" outlineLevel="0" collapsed="false">
      <c r="A790" s="77"/>
      <c r="B790" s="77"/>
      <c r="C790" s="77"/>
      <c r="D790" s="77"/>
      <c r="E790" s="77"/>
      <c r="F790" s="77"/>
      <c r="G790" s="77"/>
      <c r="H790" s="77"/>
    </row>
    <row r="791" customFormat="false" ht="15.75" hidden="false" customHeight="true" outlineLevel="0" collapsed="false">
      <c r="A791" s="77"/>
      <c r="B791" s="77"/>
      <c r="C791" s="77"/>
      <c r="D791" s="77"/>
      <c r="E791" s="77"/>
      <c r="F791" s="77"/>
      <c r="G791" s="77"/>
      <c r="H791" s="77"/>
    </row>
    <row r="792" customFormat="false" ht="15.75" hidden="false" customHeight="true" outlineLevel="0" collapsed="false">
      <c r="A792" s="77"/>
      <c r="B792" s="77"/>
      <c r="C792" s="77"/>
      <c r="D792" s="77"/>
      <c r="E792" s="77"/>
      <c r="F792" s="77"/>
      <c r="G792" s="77"/>
      <c r="H792" s="77"/>
    </row>
    <row r="793" customFormat="false" ht="15.75" hidden="false" customHeight="true" outlineLevel="0" collapsed="false">
      <c r="A793" s="77"/>
      <c r="B793" s="77"/>
      <c r="C793" s="77"/>
      <c r="D793" s="77"/>
      <c r="E793" s="77"/>
      <c r="F793" s="77"/>
      <c r="G793" s="77"/>
      <c r="H793" s="77"/>
    </row>
    <row r="794" customFormat="false" ht="15.75" hidden="false" customHeight="true" outlineLevel="0" collapsed="false">
      <c r="A794" s="77"/>
      <c r="B794" s="77"/>
      <c r="C794" s="77"/>
      <c r="D794" s="77"/>
      <c r="E794" s="77"/>
      <c r="F794" s="77"/>
      <c r="G794" s="77"/>
      <c r="H794" s="77"/>
    </row>
    <row r="795" customFormat="false" ht="15.75" hidden="false" customHeight="true" outlineLevel="0" collapsed="false">
      <c r="A795" s="77"/>
      <c r="B795" s="77"/>
      <c r="C795" s="77"/>
      <c r="D795" s="77"/>
      <c r="E795" s="77"/>
      <c r="F795" s="77"/>
      <c r="G795" s="77"/>
      <c r="H795" s="77"/>
    </row>
    <row r="796" customFormat="false" ht="15.75" hidden="false" customHeight="true" outlineLevel="0" collapsed="false">
      <c r="A796" s="77"/>
      <c r="B796" s="77"/>
      <c r="C796" s="77"/>
      <c r="D796" s="77"/>
      <c r="E796" s="77"/>
      <c r="F796" s="77"/>
      <c r="G796" s="77"/>
      <c r="H796" s="77"/>
    </row>
    <row r="797" customFormat="false" ht="15.75" hidden="false" customHeight="true" outlineLevel="0" collapsed="false">
      <c r="A797" s="77"/>
      <c r="B797" s="77"/>
      <c r="C797" s="77"/>
      <c r="D797" s="77"/>
      <c r="E797" s="77"/>
      <c r="F797" s="77"/>
      <c r="G797" s="77"/>
      <c r="H797" s="77"/>
    </row>
    <row r="798" customFormat="false" ht="15.75" hidden="false" customHeight="true" outlineLevel="0" collapsed="false">
      <c r="A798" s="77"/>
      <c r="B798" s="77"/>
      <c r="C798" s="77"/>
      <c r="D798" s="77"/>
      <c r="E798" s="77"/>
      <c r="F798" s="77"/>
      <c r="G798" s="77"/>
      <c r="H798" s="77"/>
    </row>
    <row r="799" customFormat="false" ht="15.75" hidden="false" customHeight="true" outlineLevel="0" collapsed="false">
      <c r="A799" s="77"/>
      <c r="B799" s="77"/>
      <c r="C799" s="77"/>
      <c r="D799" s="77"/>
      <c r="E799" s="77"/>
      <c r="F799" s="77"/>
      <c r="G799" s="77"/>
      <c r="H799" s="77"/>
    </row>
    <row r="800" customFormat="false" ht="15.75" hidden="false" customHeight="true" outlineLevel="0" collapsed="false">
      <c r="A800" s="77"/>
      <c r="B800" s="77"/>
      <c r="C800" s="77"/>
      <c r="D800" s="77"/>
      <c r="E800" s="77"/>
      <c r="F800" s="77"/>
      <c r="G800" s="77"/>
      <c r="H800" s="77"/>
    </row>
    <row r="801" customFormat="false" ht="15.75" hidden="false" customHeight="true" outlineLevel="0" collapsed="false">
      <c r="A801" s="77"/>
      <c r="B801" s="77"/>
      <c r="C801" s="77"/>
      <c r="D801" s="77"/>
      <c r="E801" s="77"/>
      <c r="F801" s="77"/>
      <c r="G801" s="77"/>
      <c r="H801" s="77"/>
    </row>
    <row r="802" customFormat="false" ht="15.75" hidden="false" customHeight="true" outlineLevel="0" collapsed="false">
      <c r="A802" s="77"/>
      <c r="B802" s="77"/>
      <c r="C802" s="77"/>
      <c r="D802" s="77"/>
      <c r="E802" s="77"/>
      <c r="F802" s="77"/>
      <c r="G802" s="77"/>
      <c r="H802" s="77"/>
    </row>
    <row r="803" customFormat="false" ht="15.75" hidden="false" customHeight="true" outlineLevel="0" collapsed="false">
      <c r="A803" s="77"/>
      <c r="B803" s="77"/>
      <c r="C803" s="77"/>
      <c r="D803" s="77"/>
      <c r="E803" s="77"/>
      <c r="F803" s="77"/>
      <c r="G803" s="77"/>
      <c r="H803" s="77"/>
    </row>
    <row r="804" customFormat="false" ht="15.75" hidden="false" customHeight="true" outlineLevel="0" collapsed="false">
      <c r="A804" s="77"/>
      <c r="B804" s="77"/>
      <c r="C804" s="77"/>
      <c r="D804" s="77"/>
      <c r="E804" s="77"/>
      <c r="F804" s="77"/>
      <c r="G804" s="77"/>
      <c r="H804" s="77"/>
    </row>
    <row r="805" customFormat="false" ht="15.75" hidden="false" customHeight="true" outlineLevel="0" collapsed="false">
      <c r="A805" s="77"/>
      <c r="B805" s="77"/>
      <c r="C805" s="77"/>
      <c r="D805" s="77"/>
      <c r="E805" s="77"/>
      <c r="F805" s="77"/>
      <c r="G805" s="77"/>
      <c r="H805" s="77"/>
    </row>
    <row r="806" customFormat="false" ht="15.75" hidden="false" customHeight="true" outlineLevel="0" collapsed="false">
      <c r="A806" s="77"/>
      <c r="B806" s="77"/>
      <c r="C806" s="77"/>
      <c r="D806" s="77"/>
      <c r="E806" s="77"/>
      <c r="F806" s="77"/>
      <c r="G806" s="77"/>
      <c r="H806" s="77"/>
    </row>
    <row r="807" customFormat="false" ht="15.75" hidden="false" customHeight="true" outlineLevel="0" collapsed="false">
      <c r="A807" s="77"/>
      <c r="B807" s="77"/>
      <c r="C807" s="77"/>
      <c r="D807" s="77"/>
      <c r="E807" s="77"/>
      <c r="F807" s="77"/>
      <c r="G807" s="77"/>
      <c r="H807" s="77"/>
    </row>
    <row r="808" customFormat="false" ht="15.75" hidden="false" customHeight="true" outlineLevel="0" collapsed="false">
      <c r="A808" s="77"/>
      <c r="B808" s="77"/>
      <c r="C808" s="77"/>
      <c r="D808" s="77"/>
      <c r="E808" s="77"/>
      <c r="F808" s="77"/>
      <c r="G808" s="77"/>
      <c r="H808" s="77"/>
    </row>
    <row r="809" customFormat="false" ht="15.75" hidden="false" customHeight="true" outlineLevel="0" collapsed="false">
      <c r="A809" s="77"/>
      <c r="B809" s="77"/>
      <c r="C809" s="77"/>
      <c r="D809" s="77"/>
      <c r="E809" s="77"/>
      <c r="F809" s="77"/>
      <c r="G809" s="77"/>
      <c r="H809" s="77"/>
    </row>
    <row r="810" customFormat="false" ht="15.75" hidden="false" customHeight="true" outlineLevel="0" collapsed="false">
      <c r="A810" s="77"/>
      <c r="B810" s="77"/>
      <c r="C810" s="77"/>
      <c r="D810" s="77"/>
      <c r="E810" s="77"/>
      <c r="F810" s="77"/>
      <c r="G810" s="77"/>
      <c r="H810" s="77"/>
    </row>
    <row r="811" customFormat="false" ht="15.75" hidden="false" customHeight="true" outlineLevel="0" collapsed="false">
      <c r="A811" s="77"/>
      <c r="B811" s="77"/>
      <c r="C811" s="77"/>
      <c r="D811" s="77"/>
      <c r="E811" s="77"/>
      <c r="F811" s="77"/>
      <c r="G811" s="77"/>
      <c r="H811" s="77"/>
    </row>
    <row r="812" customFormat="false" ht="15.75" hidden="false" customHeight="true" outlineLevel="0" collapsed="false">
      <c r="A812" s="77"/>
      <c r="B812" s="77"/>
      <c r="C812" s="77"/>
      <c r="D812" s="77"/>
      <c r="E812" s="77"/>
      <c r="F812" s="77"/>
      <c r="G812" s="77"/>
      <c r="H812" s="77"/>
    </row>
    <row r="813" customFormat="false" ht="15.75" hidden="false" customHeight="true" outlineLevel="0" collapsed="false">
      <c r="A813" s="77"/>
      <c r="B813" s="77"/>
      <c r="C813" s="77"/>
      <c r="D813" s="77"/>
      <c r="E813" s="77"/>
      <c r="F813" s="77"/>
      <c r="G813" s="77"/>
      <c r="H813" s="77"/>
    </row>
    <row r="814" customFormat="false" ht="15.75" hidden="false" customHeight="true" outlineLevel="0" collapsed="false">
      <c r="A814" s="77"/>
      <c r="B814" s="77"/>
      <c r="C814" s="77"/>
      <c r="D814" s="77"/>
      <c r="E814" s="77"/>
      <c r="F814" s="77"/>
      <c r="G814" s="77"/>
      <c r="H814" s="77"/>
    </row>
    <row r="815" customFormat="false" ht="15.75" hidden="false" customHeight="true" outlineLevel="0" collapsed="false">
      <c r="A815" s="77"/>
      <c r="B815" s="77"/>
      <c r="C815" s="77"/>
      <c r="D815" s="77"/>
      <c r="E815" s="77"/>
      <c r="F815" s="77"/>
      <c r="G815" s="77"/>
      <c r="H815" s="77"/>
    </row>
    <row r="816" customFormat="false" ht="15.75" hidden="false" customHeight="true" outlineLevel="0" collapsed="false">
      <c r="A816" s="77"/>
      <c r="B816" s="77"/>
      <c r="C816" s="77"/>
      <c r="D816" s="77"/>
      <c r="E816" s="77"/>
      <c r="F816" s="77"/>
      <c r="G816" s="77"/>
      <c r="H816" s="77"/>
    </row>
    <row r="817" customFormat="false" ht="15.75" hidden="false" customHeight="true" outlineLevel="0" collapsed="false">
      <c r="A817" s="77"/>
      <c r="B817" s="77"/>
      <c r="C817" s="77"/>
      <c r="D817" s="77"/>
      <c r="E817" s="77"/>
      <c r="F817" s="77"/>
      <c r="G817" s="77"/>
      <c r="H817" s="77"/>
    </row>
    <row r="818" customFormat="false" ht="15.75" hidden="false" customHeight="true" outlineLevel="0" collapsed="false">
      <c r="A818" s="77"/>
      <c r="B818" s="77"/>
      <c r="C818" s="77"/>
      <c r="D818" s="77"/>
      <c r="E818" s="77"/>
      <c r="F818" s="77"/>
      <c r="G818" s="77"/>
      <c r="H818" s="77"/>
    </row>
    <row r="819" customFormat="false" ht="15.75" hidden="false" customHeight="true" outlineLevel="0" collapsed="false">
      <c r="A819" s="77"/>
      <c r="B819" s="77"/>
      <c r="C819" s="77"/>
      <c r="D819" s="77"/>
      <c r="E819" s="77"/>
      <c r="F819" s="77"/>
      <c r="G819" s="77"/>
      <c r="H819" s="77"/>
    </row>
    <row r="820" customFormat="false" ht="15.75" hidden="false" customHeight="true" outlineLevel="0" collapsed="false">
      <c r="A820" s="77"/>
      <c r="B820" s="77"/>
      <c r="C820" s="77"/>
      <c r="D820" s="77"/>
      <c r="E820" s="77"/>
      <c r="F820" s="77"/>
      <c r="G820" s="77"/>
      <c r="H820" s="77"/>
    </row>
    <row r="821" customFormat="false" ht="15.75" hidden="false" customHeight="true" outlineLevel="0" collapsed="false">
      <c r="A821" s="77"/>
      <c r="B821" s="77"/>
      <c r="C821" s="77"/>
      <c r="D821" s="77"/>
      <c r="E821" s="77"/>
      <c r="F821" s="77"/>
      <c r="G821" s="77"/>
      <c r="H821" s="77"/>
    </row>
    <row r="822" customFormat="false" ht="15.75" hidden="false" customHeight="true" outlineLevel="0" collapsed="false">
      <c r="A822" s="77"/>
      <c r="B822" s="77"/>
      <c r="C822" s="77"/>
      <c r="D822" s="77"/>
      <c r="E822" s="77"/>
      <c r="F822" s="77"/>
      <c r="G822" s="77"/>
      <c r="H822" s="77"/>
    </row>
    <row r="823" customFormat="false" ht="15.75" hidden="false" customHeight="true" outlineLevel="0" collapsed="false">
      <c r="A823" s="77"/>
      <c r="B823" s="77"/>
      <c r="C823" s="77"/>
      <c r="D823" s="77"/>
      <c r="E823" s="77"/>
      <c r="F823" s="77"/>
      <c r="G823" s="77"/>
      <c r="H823" s="77"/>
    </row>
    <row r="824" customFormat="false" ht="15.75" hidden="false" customHeight="true" outlineLevel="0" collapsed="false">
      <c r="A824" s="77"/>
      <c r="B824" s="77"/>
      <c r="C824" s="77"/>
      <c r="D824" s="77"/>
      <c r="E824" s="77"/>
      <c r="F824" s="77"/>
      <c r="G824" s="77"/>
      <c r="H824" s="77"/>
    </row>
    <row r="825" customFormat="false" ht="15.75" hidden="false" customHeight="true" outlineLevel="0" collapsed="false">
      <c r="A825" s="77"/>
      <c r="B825" s="77"/>
      <c r="C825" s="77"/>
      <c r="D825" s="77"/>
      <c r="E825" s="77"/>
      <c r="F825" s="77"/>
      <c r="G825" s="77"/>
      <c r="H825" s="77"/>
    </row>
    <row r="826" customFormat="false" ht="15.75" hidden="false" customHeight="true" outlineLevel="0" collapsed="false">
      <c r="A826" s="77"/>
      <c r="B826" s="77"/>
      <c r="C826" s="77"/>
      <c r="D826" s="77"/>
      <c r="E826" s="77"/>
      <c r="F826" s="77"/>
      <c r="G826" s="77"/>
      <c r="H826" s="77"/>
    </row>
    <row r="827" customFormat="false" ht="15.75" hidden="false" customHeight="true" outlineLevel="0" collapsed="false">
      <c r="A827" s="77"/>
      <c r="B827" s="77"/>
      <c r="C827" s="77"/>
      <c r="D827" s="77"/>
      <c r="E827" s="77"/>
      <c r="F827" s="77"/>
      <c r="G827" s="77"/>
      <c r="H827" s="77"/>
    </row>
    <row r="828" customFormat="false" ht="15.75" hidden="false" customHeight="true" outlineLevel="0" collapsed="false">
      <c r="A828" s="77"/>
      <c r="B828" s="77"/>
      <c r="C828" s="77"/>
      <c r="D828" s="77"/>
      <c r="E828" s="77"/>
      <c r="F828" s="77"/>
      <c r="G828" s="77"/>
      <c r="H828" s="77"/>
    </row>
    <row r="829" customFormat="false" ht="15.75" hidden="false" customHeight="true" outlineLevel="0" collapsed="false">
      <c r="A829" s="77"/>
      <c r="B829" s="77"/>
      <c r="C829" s="77"/>
      <c r="D829" s="77"/>
      <c r="E829" s="77"/>
      <c r="F829" s="77"/>
      <c r="G829" s="77"/>
      <c r="H829" s="77"/>
    </row>
    <row r="830" customFormat="false" ht="15.75" hidden="false" customHeight="true" outlineLevel="0" collapsed="false">
      <c r="A830" s="77"/>
      <c r="B830" s="77"/>
      <c r="C830" s="77"/>
      <c r="D830" s="77"/>
      <c r="E830" s="77"/>
      <c r="F830" s="77"/>
      <c r="G830" s="77"/>
      <c r="H830" s="77"/>
    </row>
    <row r="831" customFormat="false" ht="15.75" hidden="false" customHeight="true" outlineLevel="0" collapsed="false">
      <c r="A831" s="77"/>
      <c r="B831" s="77"/>
      <c r="C831" s="77"/>
      <c r="D831" s="77"/>
      <c r="E831" s="77"/>
      <c r="F831" s="77"/>
      <c r="G831" s="77"/>
      <c r="H831" s="77"/>
    </row>
    <row r="832" customFormat="false" ht="15.75" hidden="false" customHeight="true" outlineLevel="0" collapsed="false">
      <c r="A832" s="77"/>
      <c r="B832" s="77"/>
      <c r="C832" s="77"/>
      <c r="D832" s="77"/>
      <c r="E832" s="77"/>
      <c r="F832" s="77"/>
      <c r="G832" s="77"/>
      <c r="H832" s="77"/>
    </row>
    <row r="833" customFormat="false" ht="15.75" hidden="false" customHeight="true" outlineLevel="0" collapsed="false">
      <c r="A833" s="77"/>
      <c r="B833" s="77"/>
      <c r="C833" s="77"/>
      <c r="D833" s="77"/>
      <c r="E833" s="77"/>
      <c r="F833" s="77"/>
      <c r="G833" s="77"/>
      <c r="H833" s="77"/>
    </row>
    <row r="834" customFormat="false" ht="15.75" hidden="false" customHeight="true" outlineLevel="0" collapsed="false">
      <c r="A834" s="77"/>
      <c r="B834" s="77"/>
      <c r="C834" s="77"/>
      <c r="D834" s="77"/>
      <c r="E834" s="77"/>
      <c r="F834" s="77"/>
      <c r="G834" s="77"/>
      <c r="H834" s="77"/>
    </row>
    <row r="835" customFormat="false" ht="15.75" hidden="false" customHeight="true" outlineLevel="0" collapsed="false">
      <c r="A835" s="77"/>
      <c r="B835" s="77"/>
      <c r="C835" s="77"/>
      <c r="D835" s="77"/>
      <c r="E835" s="77"/>
      <c r="F835" s="77"/>
      <c r="G835" s="77"/>
      <c r="H835" s="77"/>
    </row>
    <row r="836" customFormat="false" ht="15.75" hidden="false" customHeight="true" outlineLevel="0" collapsed="false">
      <c r="A836" s="77"/>
      <c r="B836" s="77"/>
      <c r="C836" s="77"/>
      <c r="D836" s="77"/>
      <c r="E836" s="77"/>
      <c r="F836" s="77"/>
      <c r="G836" s="77"/>
      <c r="H836" s="77"/>
    </row>
    <row r="837" customFormat="false" ht="15.75" hidden="false" customHeight="true" outlineLevel="0" collapsed="false">
      <c r="A837" s="77"/>
      <c r="B837" s="77"/>
      <c r="C837" s="77"/>
      <c r="D837" s="77"/>
      <c r="E837" s="77"/>
      <c r="F837" s="77"/>
      <c r="G837" s="77"/>
      <c r="H837" s="77"/>
    </row>
    <row r="838" customFormat="false" ht="15.75" hidden="false" customHeight="true" outlineLevel="0" collapsed="false">
      <c r="A838" s="77"/>
      <c r="B838" s="77"/>
      <c r="C838" s="77"/>
      <c r="D838" s="77"/>
      <c r="E838" s="77"/>
      <c r="F838" s="77"/>
      <c r="G838" s="77"/>
      <c r="H838" s="77"/>
    </row>
    <row r="839" customFormat="false" ht="15.75" hidden="false" customHeight="true" outlineLevel="0" collapsed="false">
      <c r="A839" s="77"/>
      <c r="B839" s="77"/>
      <c r="C839" s="77"/>
      <c r="D839" s="77"/>
      <c r="E839" s="77"/>
      <c r="F839" s="77"/>
      <c r="G839" s="77"/>
      <c r="H839" s="77"/>
    </row>
    <row r="840" customFormat="false" ht="15.75" hidden="false" customHeight="true" outlineLevel="0" collapsed="false">
      <c r="A840" s="77"/>
      <c r="B840" s="77"/>
      <c r="C840" s="77"/>
      <c r="D840" s="77"/>
      <c r="E840" s="77"/>
      <c r="F840" s="77"/>
      <c r="G840" s="77"/>
      <c r="H840" s="77"/>
    </row>
    <row r="841" customFormat="false" ht="15.75" hidden="false" customHeight="true" outlineLevel="0" collapsed="false">
      <c r="A841" s="77"/>
      <c r="B841" s="77"/>
      <c r="C841" s="77"/>
      <c r="D841" s="77"/>
      <c r="E841" s="77"/>
      <c r="F841" s="77"/>
      <c r="G841" s="77"/>
      <c r="H841" s="77"/>
    </row>
    <row r="842" customFormat="false" ht="15.75" hidden="false" customHeight="true" outlineLevel="0" collapsed="false">
      <c r="A842" s="77"/>
      <c r="B842" s="77"/>
      <c r="C842" s="77"/>
      <c r="D842" s="77"/>
      <c r="E842" s="77"/>
      <c r="F842" s="77"/>
      <c r="G842" s="77"/>
      <c r="H842" s="77"/>
    </row>
    <row r="843" customFormat="false" ht="15.75" hidden="false" customHeight="true" outlineLevel="0" collapsed="false">
      <c r="A843" s="77"/>
      <c r="B843" s="77"/>
      <c r="C843" s="77"/>
      <c r="D843" s="77"/>
      <c r="E843" s="77"/>
      <c r="F843" s="77"/>
      <c r="G843" s="77"/>
      <c r="H843" s="77"/>
    </row>
    <row r="844" customFormat="false" ht="15.75" hidden="false" customHeight="true" outlineLevel="0" collapsed="false">
      <c r="A844" s="77"/>
      <c r="B844" s="77"/>
      <c r="C844" s="77"/>
      <c r="D844" s="77"/>
      <c r="E844" s="77"/>
      <c r="F844" s="77"/>
      <c r="G844" s="77"/>
      <c r="H844" s="77"/>
    </row>
    <row r="845" customFormat="false" ht="15.75" hidden="false" customHeight="true" outlineLevel="0" collapsed="false">
      <c r="A845" s="77"/>
      <c r="B845" s="77"/>
      <c r="C845" s="77"/>
      <c r="D845" s="77"/>
      <c r="E845" s="77"/>
      <c r="F845" s="77"/>
      <c r="G845" s="77"/>
      <c r="H845" s="77"/>
    </row>
    <row r="846" customFormat="false" ht="15.75" hidden="false" customHeight="true" outlineLevel="0" collapsed="false">
      <c r="A846" s="77"/>
      <c r="B846" s="77"/>
      <c r="C846" s="77"/>
      <c r="D846" s="77"/>
      <c r="E846" s="77"/>
      <c r="F846" s="77"/>
      <c r="G846" s="77"/>
      <c r="H846" s="77"/>
    </row>
    <row r="847" customFormat="false" ht="15.75" hidden="false" customHeight="true" outlineLevel="0" collapsed="false">
      <c r="A847" s="77"/>
      <c r="B847" s="77"/>
      <c r="C847" s="77"/>
      <c r="D847" s="77"/>
      <c r="E847" s="77"/>
      <c r="F847" s="77"/>
      <c r="G847" s="77"/>
      <c r="H847" s="77"/>
    </row>
    <row r="848" customFormat="false" ht="15.75" hidden="false" customHeight="true" outlineLevel="0" collapsed="false">
      <c r="A848" s="77"/>
      <c r="B848" s="77"/>
      <c r="C848" s="77"/>
      <c r="D848" s="77"/>
      <c r="E848" s="77"/>
      <c r="F848" s="77"/>
      <c r="G848" s="77"/>
      <c r="H848" s="77"/>
    </row>
    <row r="849" customFormat="false" ht="15.75" hidden="false" customHeight="true" outlineLevel="0" collapsed="false">
      <c r="A849" s="77"/>
      <c r="B849" s="77"/>
      <c r="C849" s="77"/>
      <c r="D849" s="77"/>
      <c r="E849" s="77"/>
      <c r="F849" s="77"/>
      <c r="G849" s="77"/>
      <c r="H849" s="77"/>
    </row>
    <row r="850" customFormat="false" ht="15.75" hidden="false" customHeight="true" outlineLevel="0" collapsed="false">
      <c r="A850" s="77"/>
      <c r="B850" s="77"/>
      <c r="C850" s="77"/>
      <c r="D850" s="77"/>
      <c r="E850" s="77"/>
      <c r="F850" s="77"/>
      <c r="G850" s="77"/>
      <c r="H850" s="77"/>
    </row>
    <row r="851" customFormat="false" ht="15.75" hidden="false" customHeight="true" outlineLevel="0" collapsed="false">
      <c r="A851" s="77"/>
      <c r="B851" s="77"/>
      <c r="C851" s="77"/>
      <c r="D851" s="77"/>
      <c r="E851" s="77"/>
      <c r="F851" s="77"/>
      <c r="G851" s="77"/>
      <c r="H851" s="77"/>
    </row>
    <row r="852" customFormat="false" ht="15.75" hidden="false" customHeight="true" outlineLevel="0" collapsed="false">
      <c r="A852" s="77"/>
      <c r="B852" s="77"/>
      <c r="C852" s="77"/>
      <c r="D852" s="77"/>
      <c r="E852" s="77"/>
      <c r="F852" s="77"/>
      <c r="G852" s="77"/>
      <c r="H852" s="77"/>
    </row>
    <row r="853" customFormat="false" ht="15.75" hidden="false" customHeight="true" outlineLevel="0" collapsed="false">
      <c r="A853" s="77"/>
      <c r="B853" s="77"/>
      <c r="C853" s="77"/>
      <c r="D853" s="77"/>
      <c r="E853" s="77"/>
      <c r="F853" s="77"/>
      <c r="G853" s="77"/>
      <c r="H853" s="77"/>
    </row>
    <row r="854" customFormat="false" ht="15.75" hidden="false" customHeight="true" outlineLevel="0" collapsed="false">
      <c r="A854" s="77"/>
      <c r="B854" s="77"/>
      <c r="C854" s="77"/>
      <c r="D854" s="77"/>
      <c r="E854" s="77"/>
      <c r="F854" s="77"/>
      <c r="G854" s="77"/>
      <c r="H854" s="77"/>
    </row>
    <row r="855" customFormat="false" ht="15.75" hidden="false" customHeight="true" outlineLevel="0" collapsed="false">
      <c r="A855" s="77"/>
      <c r="B855" s="77"/>
      <c r="C855" s="77"/>
      <c r="D855" s="77"/>
      <c r="E855" s="77"/>
      <c r="F855" s="77"/>
      <c r="G855" s="77"/>
      <c r="H855" s="77"/>
    </row>
    <row r="856" customFormat="false" ht="15.75" hidden="false" customHeight="true" outlineLevel="0" collapsed="false">
      <c r="A856" s="77"/>
      <c r="B856" s="77"/>
      <c r="C856" s="77"/>
      <c r="D856" s="77"/>
      <c r="E856" s="77"/>
      <c r="F856" s="77"/>
      <c r="G856" s="77"/>
      <c r="H856" s="77"/>
    </row>
    <row r="857" customFormat="false" ht="15.75" hidden="false" customHeight="true" outlineLevel="0" collapsed="false">
      <c r="A857" s="77"/>
      <c r="B857" s="77"/>
      <c r="C857" s="77"/>
      <c r="D857" s="77"/>
      <c r="E857" s="77"/>
      <c r="F857" s="77"/>
      <c r="G857" s="77"/>
      <c r="H857" s="77"/>
    </row>
    <row r="858" customFormat="false" ht="15.75" hidden="false" customHeight="true" outlineLevel="0" collapsed="false">
      <c r="A858" s="77"/>
      <c r="B858" s="77"/>
      <c r="C858" s="77"/>
      <c r="D858" s="77"/>
      <c r="E858" s="77"/>
      <c r="F858" s="77"/>
      <c r="G858" s="77"/>
      <c r="H858" s="77"/>
    </row>
    <row r="859" customFormat="false" ht="15.75" hidden="false" customHeight="true" outlineLevel="0" collapsed="false">
      <c r="A859" s="77"/>
      <c r="B859" s="77"/>
      <c r="C859" s="77"/>
      <c r="D859" s="77"/>
      <c r="E859" s="77"/>
      <c r="F859" s="77"/>
      <c r="G859" s="77"/>
      <c r="H859" s="77"/>
    </row>
    <row r="860" customFormat="false" ht="15.75" hidden="false" customHeight="true" outlineLevel="0" collapsed="false">
      <c r="A860" s="77"/>
      <c r="B860" s="77"/>
      <c r="C860" s="77"/>
      <c r="D860" s="77"/>
      <c r="E860" s="77"/>
      <c r="F860" s="77"/>
      <c r="G860" s="77"/>
      <c r="H860" s="77"/>
    </row>
    <row r="861" customFormat="false" ht="15.75" hidden="false" customHeight="true" outlineLevel="0" collapsed="false">
      <c r="A861" s="77"/>
      <c r="B861" s="77"/>
      <c r="C861" s="77"/>
      <c r="D861" s="77"/>
      <c r="E861" s="77"/>
      <c r="F861" s="77"/>
      <c r="G861" s="77"/>
      <c r="H861" s="77"/>
    </row>
    <row r="862" customFormat="false" ht="15.75" hidden="false" customHeight="true" outlineLevel="0" collapsed="false">
      <c r="A862" s="77"/>
      <c r="B862" s="77"/>
      <c r="C862" s="77"/>
      <c r="D862" s="77"/>
      <c r="E862" s="77"/>
      <c r="F862" s="77"/>
      <c r="G862" s="77"/>
      <c r="H862" s="77"/>
    </row>
    <row r="863" customFormat="false" ht="15.75" hidden="false" customHeight="true" outlineLevel="0" collapsed="false">
      <c r="A863" s="77"/>
      <c r="B863" s="77"/>
      <c r="C863" s="77"/>
      <c r="D863" s="77"/>
      <c r="E863" s="77"/>
      <c r="F863" s="77"/>
      <c r="G863" s="77"/>
      <c r="H863" s="77"/>
    </row>
    <row r="864" customFormat="false" ht="15.75" hidden="false" customHeight="true" outlineLevel="0" collapsed="false">
      <c r="A864" s="77"/>
      <c r="B864" s="77"/>
      <c r="C864" s="77"/>
      <c r="D864" s="77"/>
      <c r="E864" s="77"/>
      <c r="F864" s="77"/>
      <c r="G864" s="77"/>
      <c r="H864" s="77"/>
    </row>
    <row r="865" customFormat="false" ht="15.75" hidden="false" customHeight="true" outlineLevel="0" collapsed="false">
      <c r="A865" s="77"/>
      <c r="B865" s="77"/>
      <c r="C865" s="77"/>
      <c r="D865" s="77"/>
      <c r="E865" s="77"/>
      <c r="F865" s="77"/>
      <c r="G865" s="77"/>
      <c r="H865" s="77"/>
    </row>
    <row r="866" customFormat="false" ht="15.75" hidden="false" customHeight="true" outlineLevel="0" collapsed="false">
      <c r="A866" s="77"/>
      <c r="B866" s="77"/>
      <c r="C866" s="77"/>
      <c r="D866" s="77"/>
      <c r="E866" s="77"/>
      <c r="F866" s="77"/>
      <c r="G866" s="77"/>
      <c r="H866" s="77"/>
    </row>
    <row r="867" customFormat="false" ht="15.75" hidden="false" customHeight="true" outlineLevel="0" collapsed="false">
      <c r="A867" s="77"/>
      <c r="B867" s="77"/>
      <c r="C867" s="77"/>
      <c r="D867" s="77"/>
      <c r="E867" s="77"/>
      <c r="F867" s="77"/>
      <c r="G867" s="77"/>
      <c r="H867" s="77"/>
    </row>
    <row r="868" customFormat="false" ht="15.75" hidden="false" customHeight="true" outlineLevel="0" collapsed="false">
      <c r="A868" s="77"/>
      <c r="B868" s="77"/>
      <c r="C868" s="77"/>
      <c r="D868" s="77"/>
      <c r="E868" s="77"/>
      <c r="F868" s="77"/>
      <c r="G868" s="77"/>
      <c r="H868" s="77"/>
    </row>
    <row r="869" customFormat="false" ht="15.75" hidden="false" customHeight="true" outlineLevel="0" collapsed="false">
      <c r="A869" s="77"/>
      <c r="B869" s="77"/>
      <c r="C869" s="77"/>
      <c r="D869" s="77"/>
      <c r="E869" s="77"/>
      <c r="F869" s="77"/>
      <c r="G869" s="77"/>
      <c r="H869" s="77"/>
    </row>
    <row r="870" customFormat="false" ht="15.75" hidden="false" customHeight="true" outlineLevel="0" collapsed="false">
      <c r="A870" s="77"/>
      <c r="B870" s="77"/>
      <c r="C870" s="77"/>
      <c r="D870" s="77"/>
      <c r="E870" s="77"/>
      <c r="F870" s="77"/>
      <c r="G870" s="77"/>
      <c r="H870" s="77"/>
    </row>
    <row r="871" customFormat="false" ht="15.75" hidden="false" customHeight="true" outlineLevel="0" collapsed="false">
      <c r="A871" s="77"/>
      <c r="B871" s="77"/>
      <c r="C871" s="77"/>
      <c r="D871" s="77"/>
      <c r="E871" s="77"/>
      <c r="F871" s="77"/>
      <c r="G871" s="77"/>
      <c r="H871" s="77"/>
    </row>
    <row r="872" customFormat="false" ht="15.75" hidden="false" customHeight="true" outlineLevel="0" collapsed="false">
      <c r="A872" s="77"/>
      <c r="B872" s="77"/>
      <c r="C872" s="77"/>
      <c r="D872" s="77"/>
      <c r="E872" s="77"/>
      <c r="F872" s="77"/>
      <c r="G872" s="77"/>
      <c r="H872" s="77"/>
    </row>
    <row r="873" customFormat="false" ht="15.75" hidden="false" customHeight="true" outlineLevel="0" collapsed="false">
      <c r="A873" s="77"/>
      <c r="B873" s="77"/>
      <c r="C873" s="77"/>
      <c r="D873" s="77"/>
      <c r="E873" s="77"/>
      <c r="F873" s="77"/>
      <c r="G873" s="77"/>
      <c r="H873" s="77"/>
    </row>
    <row r="874" customFormat="false" ht="15.75" hidden="false" customHeight="true" outlineLevel="0" collapsed="false">
      <c r="A874" s="77"/>
      <c r="B874" s="77"/>
      <c r="C874" s="77"/>
      <c r="D874" s="77"/>
      <c r="E874" s="77"/>
      <c r="F874" s="77"/>
      <c r="G874" s="77"/>
      <c r="H874" s="77"/>
    </row>
    <row r="875" customFormat="false" ht="15.75" hidden="false" customHeight="true" outlineLevel="0" collapsed="false">
      <c r="A875" s="77"/>
      <c r="B875" s="77"/>
      <c r="C875" s="77"/>
      <c r="D875" s="77"/>
      <c r="E875" s="77"/>
      <c r="F875" s="77"/>
      <c r="G875" s="77"/>
      <c r="H875" s="77"/>
    </row>
    <row r="876" customFormat="false" ht="15.75" hidden="false" customHeight="true" outlineLevel="0" collapsed="false">
      <c r="A876" s="77"/>
      <c r="B876" s="77"/>
      <c r="C876" s="77"/>
      <c r="D876" s="77"/>
      <c r="E876" s="77"/>
      <c r="F876" s="77"/>
      <c r="G876" s="77"/>
      <c r="H876" s="77"/>
    </row>
    <row r="877" customFormat="false" ht="15.75" hidden="false" customHeight="true" outlineLevel="0" collapsed="false">
      <c r="A877" s="77"/>
      <c r="B877" s="77"/>
      <c r="C877" s="77"/>
      <c r="D877" s="77"/>
      <c r="E877" s="77"/>
      <c r="F877" s="77"/>
      <c r="G877" s="77"/>
      <c r="H877" s="77"/>
    </row>
    <row r="878" customFormat="false" ht="15.75" hidden="false" customHeight="true" outlineLevel="0" collapsed="false">
      <c r="A878" s="77"/>
      <c r="B878" s="77"/>
      <c r="C878" s="77"/>
      <c r="D878" s="77"/>
      <c r="E878" s="77"/>
      <c r="F878" s="77"/>
      <c r="G878" s="77"/>
      <c r="H878" s="77"/>
    </row>
    <row r="879" customFormat="false" ht="15.75" hidden="false" customHeight="true" outlineLevel="0" collapsed="false">
      <c r="A879" s="77"/>
      <c r="B879" s="77"/>
      <c r="C879" s="77"/>
      <c r="D879" s="77"/>
      <c r="E879" s="77"/>
      <c r="F879" s="77"/>
      <c r="G879" s="77"/>
      <c r="H879" s="77"/>
    </row>
    <row r="880" customFormat="false" ht="15.75" hidden="false" customHeight="true" outlineLevel="0" collapsed="false">
      <c r="A880" s="77"/>
      <c r="B880" s="77"/>
      <c r="C880" s="77"/>
      <c r="D880" s="77"/>
      <c r="E880" s="77"/>
      <c r="F880" s="77"/>
      <c r="G880" s="77"/>
      <c r="H880" s="77"/>
    </row>
    <row r="881" customFormat="false" ht="15.75" hidden="false" customHeight="true" outlineLevel="0" collapsed="false">
      <c r="A881" s="77"/>
      <c r="B881" s="77"/>
      <c r="C881" s="77"/>
      <c r="D881" s="77"/>
      <c r="E881" s="77"/>
      <c r="F881" s="77"/>
      <c r="G881" s="77"/>
      <c r="H881" s="77"/>
    </row>
    <row r="882" customFormat="false" ht="15.75" hidden="false" customHeight="true" outlineLevel="0" collapsed="false">
      <c r="A882" s="77"/>
      <c r="B882" s="77"/>
      <c r="C882" s="77"/>
      <c r="D882" s="77"/>
      <c r="E882" s="77"/>
      <c r="F882" s="77"/>
      <c r="G882" s="77"/>
      <c r="H882" s="77"/>
    </row>
    <row r="883" customFormat="false" ht="15.75" hidden="false" customHeight="true" outlineLevel="0" collapsed="false">
      <c r="A883" s="77"/>
      <c r="B883" s="77"/>
      <c r="C883" s="77"/>
      <c r="D883" s="77"/>
      <c r="E883" s="77"/>
      <c r="F883" s="77"/>
      <c r="G883" s="77"/>
      <c r="H883" s="77"/>
    </row>
    <row r="884" customFormat="false" ht="15.75" hidden="false" customHeight="true" outlineLevel="0" collapsed="false">
      <c r="A884" s="77"/>
      <c r="B884" s="77"/>
      <c r="C884" s="77"/>
      <c r="D884" s="77"/>
      <c r="E884" s="77"/>
      <c r="F884" s="77"/>
      <c r="G884" s="77"/>
      <c r="H884" s="77"/>
    </row>
    <row r="885" customFormat="false" ht="15.75" hidden="false" customHeight="true" outlineLevel="0" collapsed="false">
      <c r="A885" s="77"/>
      <c r="B885" s="77"/>
      <c r="C885" s="77"/>
      <c r="D885" s="77"/>
      <c r="E885" s="77"/>
      <c r="F885" s="77"/>
      <c r="G885" s="77"/>
      <c r="H885" s="77"/>
    </row>
    <row r="886" customFormat="false" ht="15.75" hidden="false" customHeight="true" outlineLevel="0" collapsed="false">
      <c r="A886" s="77"/>
      <c r="B886" s="77"/>
      <c r="C886" s="77"/>
      <c r="D886" s="77"/>
      <c r="E886" s="77"/>
      <c r="F886" s="77"/>
      <c r="G886" s="77"/>
      <c r="H886" s="77"/>
    </row>
    <row r="887" customFormat="false" ht="15.75" hidden="false" customHeight="true" outlineLevel="0" collapsed="false">
      <c r="A887" s="77"/>
      <c r="B887" s="77"/>
      <c r="C887" s="77"/>
      <c r="D887" s="77"/>
      <c r="E887" s="77"/>
      <c r="F887" s="77"/>
      <c r="G887" s="77"/>
      <c r="H887" s="77"/>
    </row>
    <row r="888" customFormat="false" ht="15.75" hidden="false" customHeight="true" outlineLevel="0" collapsed="false">
      <c r="A888" s="77"/>
      <c r="B888" s="77"/>
      <c r="C888" s="77"/>
      <c r="D888" s="77"/>
      <c r="E888" s="77"/>
      <c r="F888" s="77"/>
      <c r="G888" s="77"/>
      <c r="H888" s="77"/>
    </row>
    <row r="889" customFormat="false" ht="15.75" hidden="false" customHeight="true" outlineLevel="0" collapsed="false">
      <c r="A889" s="77"/>
      <c r="B889" s="77"/>
      <c r="C889" s="77"/>
      <c r="D889" s="77"/>
      <c r="E889" s="77"/>
      <c r="F889" s="77"/>
      <c r="G889" s="77"/>
      <c r="H889" s="77"/>
    </row>
    <row r="890" customFormat="false" ht="15.75" hidden="false" customHeight="true" outlineLevel="0" collapsed="false">
      <c r="A890" s="77"/>
      <c r="B890" s="77"/>
      <c r="C890" s="77"/>
      <c r="D890" s="77"/>
      <c r="E890" s="77"/>
      <c r="F890" s="77"/>
      <c r="G890" s="77"/>
      <c r="H890" s="77"/>
    </row>
    <row r="891" customFormat="false" ht="15.75" hidden="false" customHeight="true" outlineLevel="0" collapsed="false">
      <c r="A891" s="77"/>
      <c r="B891" s="77"/>
      <c r="C891" s="77"/>
      <c r="D891" s="77"/>
      <c r="E891" s="77"/>
      <c r="F891" s="77"/>
      <c r="G891" s="77"/>
      <c r="H891" s="77"/>
    </row>
    <row r="892" customFormat="false" ht="15.75" hidden="false" customHeight="true" outlineLevel="0" collapsed="false">
      <c r="A892" s="77"/>
      <c r="B892" s="77"/>
      <c r="C892" s="77"/>
      <c r="D892" s="77"/>
      <c r="E892" s="77"/>
      <c r="F892" s="77"/>
      <c r="G892" s="77"/>
      <c r="H892" s="77"/>
    </row>
    <row r="893" customFormat="false" ht="15.75" hidden="false" customHeight="true" outlineLevel="0" collapsed="false">
      <c r="A893" s="77"/>
      <c r="B893" s="77"/>
      <c r="C893" s="77"/>
      <c r="D893" s="77"/>
      <c r="E893" s="77"/>
      <c r="F893" s="77"/>
      <c r="G893" s="77"/>
      <c r="H893" s="77"/>
    </row>
    <row r="894" customFormat="false" ht="15.75" hidden="false" customHeight="true" outlineLevel="0" collapsed="false">
      <c r="A894" s="77"/>
      <c r="B894" s="77"/>
      <c r="C894" s="77"/>
      <c r="D894" s="77"/>
      <c r="E894" s="77"/>
      <c r="F894" s="77"/>
      <c r="G894" s="77"/>
      <c r="H894" s="77"/>
    </row>
    <row r="895" customFormat="false" ht="15.75" hidden="false" customHeight="true" outlineLevel="0" collapsed="false">
      <c r="A895" s="77"/>
      <c r="B895" s="77"/>
      <c r="C895" s="77"/>
      <c r="D895" s="77"/>
      <c r="E895" s="77"/>
      <c r="F895" s="77"/>
      <c r="G895" s="77"/>
      <c r="H895" s="77"/>
    </row>
    <row r="896" customFormat="false" ht="15.75" hidden="false" customHeight="true" outlineLevel="0" collapsed="false">
      <c r="A896" s="77"/>
      <c r="B896" s="77"/>
      <c r="C896" s="77"/>
      <c r="D896" s="77"/>
      <c r="E896" s="77"/>
      <c r="F896" s="77"/>
      <c r="G896" s="77"/>
      <c r="H896" s="77"/>
    </row>
    <row r="897" customFormat="false" ht="15.75" hidden="false" customHeight="true" outlineLevel="0" collapsed="false">
      <c r="A897" s="77"/>
      <c r="B897" s="77"/>
      <c r="C897" s="77"/>
      <c r="D897" s="77"/>
      <c r="E897" s="77"/>
      <c r="F897" s="77"/>
      <c r="G897" s="77"/>
      <c r="H897" s="77"/>
    </row>
    <row r="898" customFormat="false" ht="15.75" hidden="false" customHeight="true" outlineLevel="0" collapsed="false">
      <c r="A898" s="77"/>
      <c r="B898" s="77"/>
      <c r="C898" s="77"/>
      <c r="D898" s="77"/>
      <c r="E898" s="77"/>
      <c r="F898" s="77"/>
      <c r="G898" s="77"/>
      <c r="H898" s="77"/>
    </row>
    <row r="899" customFormat="false" ht="15.75" hidden="false" customHeight="true" outlineLevel="0" collapsed="false">
      <c r="A899" s="77"/>
      <c r="B899" s="77"/>
      <c r="C899" s="77"/>
      <c r="D899" s="77"/>
      <c r="E899" s="77"/>
      <c r="F899" s="77"/>
      <c r="G899" s="77"/>
      <c r="H899" s="77"/>
    </row>
    <row r="900" customFormat="false" ht="15.75" hidden="false" customHeight="true" outlineLevel="0" collapsed="false">
      <c r="A900" s="77"/>
      <c r="B900" s="77"/>
      <c r="C900" s="77"/>
      <c r="D900" s="77"/>
      <c r="E900" s="77"/>
      <c r="F900" s="77"/>
      <c r="G900" s="77"/>
      <c r="H900" s="77"/>
    </row>
    <row r="901" customFormat="false" ht="15.75" hidden="false" customHeight="true" outlineLevel="0" collapsed="false">
      <c r="A901" s="77"/>
      <c r="B901" s="77"/>
      <c r="C901" s="77"/>
      <c r="D901" s="77"/>
      <c r="E901" s="77"/>
      <c r="F901" s="77"/>
      <c r="G901" s="77"/>
      <c r="H901" s="77"/>
    </row>
    <row r="902" customFormat="false" ht="15.75" hidden="false" customHeight="true" outlineLevel="0" collapsed="false">
      <c r="A902" s="77"/>
      <c r="B902" s="77"/>
      <c r="C902" s="77"/>
      <c r="D902" s="77"/>
      <c r="E902" s="77"/>
      <c r="F902" s="77"/>
      <c r="G902" s="77"/>
      <c r="H902" s="77"/>
    </row>
    <row r="903" customFormat="false" ht="15.75" hidden="false" customHeight="true" outlineLevel="0" collapsed="false">
      <c r="A903" s="77"/>
      <c r="B903" s="77"/>
      <c r="C903" s="77"/>
      <c r="D903" s="77"/>
      <c r="E903" s="77"/>
      <c r="F903" s="77"/>
      <c r="G903" s="77"/>
      <c r="H903" s="77"/>
    </row>
    <row r="904" customFormat="false" ht="15.75" hidden="false" customHeight="true" outlineLevel="0" collapsed="false">
      <c r="A904" s="77"/>
      <c r="B904" s="77"/>
      <c r="C904" s="77"/>
      <c r="D904" s="77"/>
      <c r="E904" s="77"/>
      <c r="F904" s="77"/>
      <c r="G904" s="77"/>
      <c r="H904" s="77"/>
    </row>
    <row r="905" customFormat="false" ht="15.75" hidden="false" customHeight="true" outlineLevel="0" collapsed="false">
      <c r="A905" s="77"/>
      <c r="B905" s="77"/>
      <c r="C905" s="77"/>
      <c r="D905" s="77"/>
      <c r="E905" s="77"/>
      <c r="F905" s="77"/>
      <c r="G905" s="77"/>
      <c r="H905" s="77"/>
    </row>
    <row r="906" customFormat="false" ht="15.75" hidden="false" customHeight="true" outlineLevel="0" collapsed="false">
      <c r="A906" s="77"/>
      <c r="B906" s="77"/>
      <c r="C906" s="77"/>
      <c r="D906" s="77"/>
      <c r="E906" s="77"/>
      <c r="F906" s="77"/>
      <c r="G906" s="77"/>
      <c r="H906" s="77"/>
    </row>
    <row r="907" customFormat="false" ht="15.75" hidden="false" customHeight="true" outlineLevel="0" collapsed="false">
      <c r="A907" s="77"/>
      <c r="B907" s="77"/>
      <c r="C907" s="77"/>
      <c r="D907" s="77"/>
      <c r="E907" s="77"/>
      <c r="F907" s="77"/>
      <c r="G907" s="77"/>
      <c r="H907" s="77"/>
    </row>
    <row r="908" customFormat="false" ht="15.75" hidden="false" customHeight="true" outlineLevel="0" collapsed="false">
      <c r="A908" s="77"/>
      <c r="B908" s="77"/>
      <c r="C908" s="77"/>
      <c r="D908" s="77"/>
      <c r="E908" s="77"/>
      <c r="F908" s="77"/>
      <c r="G908" s="77"/>
      <c r="H908" s="77"/>
    </row>
    <row r="909" customFormat="false" ht="15.75" hidden="false" customHeight="true" outlineLevel="0" collapsed="false">
      <c r="A909" s="77"/>
      <c r="B909" s="77"/>
      <c r="C909" s="77"/>
      <c r="D909" s="77"/>
      <c r="E909" s="77"/>
      <c r="F909" s="77"/>
      <c r="G909" s="77"/>
      <c r="H909" s="77"/>
    </row>
    <row r="910" customFormat="false" ht="15.75" hidden="false" customHeight="true" outlineLevel="0" collapsed="false">
      <c r="A910" s="77"/>
      <c r="B910" s="77"/>
      <c r="C910" s="77"/>
      <c r="D910" s="77"/>
      <c r="E910" s="77"/>
      <c r="F910" s="77"/>
      <c r="G910" s="77"/>
      <c r="H910" s="77"/>
    </row>
    <row r="911" customFormat="false" ht="15.75" hidden="false" customHeight="true" outlineLevel="0" collapsed="false">
      <c r="A911" s="77"/>
      <c r="B911" s="77"/>
      <c r="C911" s="77"/>
      <c r="D911" s="77"/>
      <c r="E911" s="77"/>
      <c r="F911" s="77"/>
      <c r="G911" s="77"/>
      <c r="H911" s="77"/>
    </row>
    <row r="912" customFormat="false" ht="15.75" hidden="false" customHeight="true" outlineLevel="0" collapsed="false">
      <c r="A912" s="77"/>
      <c r="B912" s="77"/>
      <c r="C912" s="77"/>
      <c r="D912" s="77"/>
      <c r="E912" s="77"/>
      <c r="F912" s="77"/>
      <c r="G912" s="77"/>
      <c r="H912" s="77"/>
    </row>
    <row r="913" customFormat="false" ht="15.75" hidden="false" customHeight="true" outlineLevel="0" collapsed="false">
      <c r="A913" s="77"/>
      <c r="B913" s="77"/>
      <c r="C913" s="77"/>
      <c r="D913" s="77"/>
      <c r="E913" s="77"/>
      <c r="F913" s="77"/>
      <c r="G913" s="77"/>
      <c r="H913" s="77"/>
    </row>
    <row r="914" customFormat="false" ht="15.75" hidden="false" customHeight="true" outlineLevel="0" collapsed="false">
      <c r="A914" s="77"/>
      <c r="B914" s="77"/>
      <c r="C914" s="77"/>
      <c r="D914" s="77"/>
      <c r="E914" s="77"/>
      <c r="F914" s="77"/>
      <c r="G914" s="77"/>
      <c r="H914" s="77"/>
    </row>
    <row r="915" customFormat="false" ht="15.75" hidden="false" customHeight="true" outlineLevel="0" collapsed="false">
      <c r="A915" s="77"/>
      <c r="B915" s="77"/>
      <c r="C915" s="77"/>
      <c r="D915" s="77"/>
      <c r="E915" s="77"/>
      <c r="F915" s="77"/>
      <c r="G915" s="77"/>
      <c r="H915" s="77"/>
    </row>
    <row r="916" customFormat="false" ht="15.75" hidden="false" customHeight="true" outlineLevel="0" collapsed="false">
      <c r="A916" s="77"/>
      <c r="B916" s="77"/>
      <c r="C916" s="77"/>
      <c r="D916" s="77"/>
      <c r="E916" s="77"/>
      <c r="F916" s="77"/>
      <c r="G916" s="77"/>
      <c r="H916" s="77"/>
    </row>
    <row r="917" customFormat="false" ht="15.75" hidden="false" customHeight="true" outlineLevel="0" collapsed="false">
      <c r="A917" s="77"/>
      <c r="B917" s="77"/>
      <c r="C917" s="77"/>
      <c r="D917" s="77"/>
      <c r="E917" s="77"/>
      <c r="F917" s="77"/>
      <c r="G917" s="77"/>
      <c r="H917" s="77"/>
    </row>
    <row r="918" customFormat="false" ht="15.75" hidden="false" customHeight="true" outlineLevel="0" collapsed="false">
      <c r="A918" s="77"/>
      <c r="B918" s="77"/>
      <c r="C918" s="77"/>
      <c r="D918" s="77"/>
      <c r="E918" s="77"/>
      <c r="F918" s="77"/>
      <c r="G918" s="77"/>
      <c r="H918" s="77"/>
    </row>
    <row r="919" customFormat="false" ht="15.75" hidden="false" customHeight="true" outlineLevel="0" collapsed="false">
      <c r="A919" s="77"/>
      <c r="B919" s="77"/>
      <c r="C919" s="77"/>
      <c r="D919" s="77"/>
      <c r="E919" s="77"/>
      <c r="F919" s="77"/>
      <c r="G919" s="77"/>
      <c r="H919" s="77"/>
    </row>
    <row r="920" customFormat="false" ht="15.75" hidden="false" customHeight="true" outlineLevel="0" collapsed="false">
      <c r="A920" s="77"/>
      <c r="B920" s="77"/>
      <c r="C920" s="77"/>
      <c r="D920" s="77"/>
      <c r="E920" s="77"/>
      <c r="F920" s="77"/>
      <c r="G920" s="77"/>
      <c r="H920" s="77"/>
    </row>
    <row r="921" customFormat="false" ht="15.75" hidden="false" customHeight="true" outlineLevel="0" collapsed="false">
      <c r="A921" s="77"/>
      <c r="B921" s="77"/>
      <c r="C921" s="77"/>
      <c r="D921" s="77"/>
      <c r="E921" s="77"/>
      <c r="F921" s="77"/>
      <c r="G921" s="77"/>
      <c r="H921" s="77"/>
    </row>
    <row r="922" customFormat="false" ht="15.75" hidden="false" customHeight="true" outlineLevel="0" collapsed="false">
      <c r="A922" s="77"/>
      <c r="B922" s="77"/>
      <c r="C922" s="77"/>
      <c r="D922" s="77"/>
      <c r="E922" s="77"/>
      <c r="F922" s="77"/>
      <c r="G922" s="77"/>
      <c r="H922" s="77"/>
    </row>
    <row r="923" customFormat="false" ht="15.75" hidden="false" customHeight="true" outlineLevel="0" collapsed="false">
      <c r="A923" s="77"/>
      <c r="B923" s="77"/>
      <c r="C923" s="77"/>
      <c r="D923" s="77"/>
      <c r="E923" s="77"/>
      <c r="F923" s="77"/>
      <c r="G923" s="77"/>
      <c r="H923" s="77"/>
    </row>
    <row r="924" customFormat="false" ht="15.75" hidden="false" customHeight="true" outlineLevel="0" collapsed="false">
      <c r="A924" s="77"/>
      <c r="B924" s="77"/>
      <c r="C924" s="77"/>
      <c r="D924" s="77"/>
      <c r="E924" s="77"/>
      <c r="F924" s="77"/>
      <c r="G924" s="77"/>
      <c r="H924" s="77"/>
    </row>
    <row r="925" customFormat="false" ht="15.75" hidden="false" customHeight="true" outlineLevel="0" collapsed="false">
      <c r="A925" s="77"/>
      <c r="B925" s="77"/>
      <c r="C925" s="77"/>
      <c r="D925" s="77"/>
      <c r="E925" s="77"/>
      <c r="F925" s="77"/>
      <c r="G925" s="77"/>
      <c r="H925" s="77"/>
    </row>
    <row r="926" customFormat="false" ht="15.75" hidden="false" customHeight="true" outlineLevel="0" collapsed="false">
      <c r="A926" s="77"/>
      <c r="B926" s="77"/>
      <c r="C926" s="77"/>
      <c r="D926" s="77"/>
      <c r="E926" s="77"/>
      <c r="F926" s="77"/>
      <c r="G926" s="77"/>
      <c r="H926" s="77"/>
    </row>
    <row r="927" customFormat="false" ht="15.75" hidden="false" customHeight="true" outlineLevel="0" collapsed="false">
      <c r="A927" s="77"/>
      <c r="B927" s="77"/>
      <c r="C927" s="77"/>
      <c r="D927" s="77"/>
      <c r="E927" s="77"/>
      <c r="F927" s="77"/>
      <c r="G927" s="77"/>
      <c r="H927" s="77"/>
    </row>
    <row r="928" customFormat="false" ht="15.75" hidden="false" customHeight="true" outlineLevel="0" collapsed="false">
      <c r="A928" s="77"/>
      <c r="B928" s="77"/>
      <c r="C928" s="77"/>
      <c r="D928" s="77"/>
      <c r="E928" s="77"/>
      <c r="F928" s="77"/>
      <c r="G928" s="77"/>
      <c r="H928" s="77"/>
    </row>
    <row r="929" customFormat="false" ht="15.75" hidden="false" customHeight="true" outlineLevel="0" collapsed="false">
      <c r="A929" s="77"/>
      <c r="B929" s="77"/>
      <c r="C929" s="77"/>
      <c r="D929" s="77"/>
      <c r="E929" s="77"/>
      <c r="F929" s="77"/>
      <c r="G929" s="77"/>
      <c r="H929" s="77"/>
    </row>
    <row r="930" customFormat="false" ht="15.75" hidden="false" customHeight="true" outlineLevel="0" collapsed="false">
      <c r="A930" s="77"/>
      <c r="B930" s="77"/>
      <c r="C930" s="77"/>
      <c r="D930" s="77"/>
      <c r="E930" s="77"/>
      <c r="F930" s="77"/>
      <c r="G930" s="77"/>
      <c r="H930" s="77"/>
    </row>
    <row r="931" customFormat="false" ht="15.75" hidden="false" customHeight="true" outlineLevel="0" collapsed="false">
      <c r="A931" s="77"/>
      <c r="B931" s="77"/>
      <c r="C931" s="77"/>
      <c r="D931" s="77"/>
      <c r="E931" s="77"/>
      <c r="F931" s="77"/>
      <c r="G931" s="77"/>
      <c r="H931" s="77"/>
    </row>
    <row r="932" customFormat="false" ht="15.75" hidden="false" customHeight="true" outlineLevel="0" collapsed="false">
      <c r="A932" s="77"/>
      <c r="B932" s="77"/>
      <c r="C932" s="77"/>
      <c r="D932" s="77"/>
      <c r="E932" s="77"/>
      <c r="F932" s="77"/>
      <c r="G932" s="77"/>
      <c r="H932" s="77"/>
    </row>
    <row r="933" customFormat="false" ht="15.75" hidden="false" customHeight="true" outlineLevel="0" collapsed="false">
      <c r="A933" s="77"/>
      <c r="B933" s="77"/>
      <c r="C933" s="77"/>
      <c r="D933" s="77"/>
      <c r="E933" s="77"/>
      <c r="F933" s="77"/>
      <c r="G933" s="77"/>
      <c r="H933" s="77"/>
    </row>
    <row r="934" customFormat="false" ht="15.75" hidden="false" customHeight="true" outlineLevel="0" collapsed="false">
      <c r="A934" s="77"/>
      <c r="B934" s="77"/>
      <c r="C934" s="77"/>
      <c r="D934" s="77"/>
      <c r="E934" s="77"/>
      <c r="F934" s="77"/>
      <c r="G934" s="77"/>
      <c r="H934" s="77"/>
    </row>
    <row r="935" customFormat="false" ht="15.75" hidden="false" customHeight="true" outlineLevel="0" collapsed="false">
      <c r="A935" s="77"/>
      <c r="B935" s="77"/>
      <c r="C935" s="77"/>
      <c r="D935" s="77"/>
      <c r="E935" s="77"/>
      <c r="F935" s="77"/>
      <c r="G935" s="77"/>
      <c r="H935" s="77"/>
    </row>
    <row r="936" customFormat="false" ht="15.75" hidden="false" customHeight="true" outlineLevel="0" collapsed="false">
      <c r="A936" s="77"/>
      <c r="B936" s="77"/>
      <c r="C936" s="77"/>
      <c r="D936" s="77"/>
      <c r="E936" s="77"/>
      <c r="F936" s="77"/>
      <c r="G936" s="77"/>
      <c r="H936" s="77"/>
    </row>
    <row r="937" customFormat="false" ht="15.75" hidden="false" customHeight="true" outlineLevel="0" collapsed="false">
      <c r="A937" s="77"/>
      <c r="B937" s="77"/>
      <c r="C937" s="77"/>
      <c r="D937" s="77"/>
      <c r="E937" s="77"/>
      <c r="F937" s="77"/>
      <c r="G937" s="77"/>
      <c r="H937" s="77"/>
    </row>
    <row r="938" customFormat="false" ht="15.75" hidden="false" customHeight="true" outlineLevel="0" collapsed="false">
      <c r="A938" s="77"/>
      <c r="B938" s="77"/>
      <c r="C938" s="77"/>
      <c r="D938" s="77"/>
      <c r="E938" s="77"/>
      <c r="F938" s="77"/>
      <c r="G938" s="77"/>
      <c r="H938" s="77"/>
    </row>
    <row r="939" customFormat="false" ht="15.75" hidden="false" customHeight="true" outlineLevel="0" collapsed="false">
      <c r="A939" s="77"/>
      <c r="B939" s="77"/>
      <c r="C939" s="77"/>
      <c r="D939" s="77"/>
      <c r="E939" s="77"/>
      <c r="F939" s="77"/>
      <c r="G939" s="77"/>
      <c r="H939" s="77"/>
    </row>
    <row r="940" customFormat="false" ht="15.75" hidden="false" customHeight="true" outlineLevel="0" collapsed="false">
      <c r="A940" s="77"/>
      <c r="B940" s="77"/>
      <c r="C940" s="77"/>
      <c r="D940" s="77"/>
      <c r="E940" s="77"/>
      <c r="F940" s="77"/>
      <c r="G940" s="77"/>
      <c r="H940" s="77"/>
    </row>
    <row r="941" customFormat="false" ht="15.75" hidden="false" customHeight="true" outlineLevel="0" collapsed="false">
      <c r="A941" s="77"/>
      <c r="B941" s="77"/>
      <c r="C941" s="77"/>
      <c r="D941" s="77"/>
      <c r="E941" s="77"/>
      <c r="F941" s="77"/>
      <c r="G941" s="77"/>
      <c r="H941" s="77"/>
    </row>
    <row r="942" customFormat="false" ht="15.75" hidden="false" customHeight="true" outlineLevel="0" collapsed="false">
      <c r="A942" s="77"/>
      <c r="B942" s="77"/>
      <c r="C942" s="77"/>
      <c r="D942" s="77"/>
      <c r="E942" s="77"/>
      <c r="F942" s="77"/>
      <c r="G942" s="77"/>
      <c r="H942" s="77"/>
    </row>
    <row r="943" customFormat="false" ht="15.75" hidden="false" customHeight="true" outlineLevel="0" collapsed="false">
      <c r="A943" s="77"/>
      <c r="B943" s="77"/>
      <c r="C943" s="77"/>
      <c r="D943" s="77"/>
      <c r="E943" s="77"/>
      <c r="F943" s="77"/>
      <c r="G943" s="77"/>
      <c r="H943" s="77"/>
    </row>
    <row r="944" customFormat="false" ht="15.75" hidden="false" customHeight="true" outlineLevel="0" collapsed="false">
      <c r="A944" s="77"/>
      <c r="B944" s="77"/>
      <c r="C944" s="77"/>
      <c r="D944" s="77"/>
      <c r="E944" s="77"/>
      <c r="F944" s="77"/>
      <c r="G944" s="77"/>
      <c r="H944" s="77"/>
    </row>
    <row r="945" customFormat="false" ht="15.75" hidden="false" customHeight="true" outlineLevel="0" collapsed="false">
      <c r="A945" s="77"/>
      <c r="B945" s="77"/>
      <c r="C945" s="77"/>
      <c r="D945" s="77"/>
      <c r="E945" s="77"/>
      <c r="F945" s="77"/>
      <c r="G945" s="77"/>
      <c r="H945" s="77"/>
    </row>
    <row r="946" customFormat="false" ht="15.75" hidden="false" customHeight="true" outlineLevel="0" collapsed="false">
      <c r="A946" s="77"/>
      <c r="B946" s="77"/>
      <c r="C946" s="77"/>
      <c r="D946" s="77"/>
      <c r="E946" s="77"/>
      <c r="F946" s="77"/>
      <c r="G946" s="77"/>
      <c r="H946" s="77"/>
    </row>
    <row r="947" customFormat="false" ht="15.75" hidden="false" customHeight="true" outlineLevel="0" collapsed="false">
      <c r="A947" s="77"/>
      <c r="B947" s="77"/>
      <c r="C947" s="77"/>
      <c r="D947" s="77"/>
      <c r="E947" s="77"/>
      <c r="F947" s="77"/>
      <c r="G947" s="77"/>
      <c r="H947" s="77"/>
    </row>
    <row r="948" customFormat="false" ht="15.75" hidden="false" customHeight="true" outlineLevel="0" collapsed="false">
      <c r="A948" s="77"/>
      <c r="B948" s="77"/>
      <c r="C948" s="77"/>
      <c r="D948" s="77"/>
      <c r="E948" s="77"/>
      <c r="F948" s="77"/>
      <c r="G948" s="77"/>
      <c r="H948" s="77"/>
    </row>
    <row r="949" customFormat="false" ht="15.75" hidden="false" customHeight="true" outlineLevel="0" collapsed="false">
      <c r="A949" s="77"/>
      <c r="B949" s="77"/>
      <c r="C949" s="77"/>
      <c r="D949" s="77"/>
      <c r="E949" s="77"/>
      <c r="F949" s="77"/>
      <c r="G949" s="77"/>
      <c r="H949" s="77"/>
    </row>
    <row r="950" customFormat="false" ht="15.75" hidden="false" customHeight="true" outlineLevel="0" collapsed="false">
      <c r="A950" s="77"/>
      <c r="B950" s="77"/>
      <c r="C950" s="77"/>
      <c r="D950" s="77"/>
      <c r="E950" s="77"/>
      <c r="F950" s="77"/>
      <c r="G950" s="77"/>
      <c r="H950" s="77"/>
    </row>
    <row r="951" customFormat="false" ht="15.75" hidden="false" customHeight="true" outlineLevel="0" collapsed="false">
      <c r="A951" s="77"/>
      <c r="B951" s="77"/>
      <c r="C951" s="77"/>
      <c r="D951" s="77"/>
      <c r="E951" s="77"/>
      <c r="F951" s="77"/>
      <c r="G951" s="77"/>
      <c r="H951" s="77"/>
    </row>
    <row r="952" customFormat="false" ht="15.75" hidden="false" customHeight="true" outlineLevel="0" collapsed="false">
      <c r="A952" s="77"/>
      <c r="B952" s="77"/>
      <c r="C952" s="77"/>
      <c r="D952" s="77"/>
      <c r="E952" s="77"/>
      <c r="F952" s="77"/>
      <c r="G952" s="77"/>
      <c r="H952" s="77"/>
    </row>
    <row r="953" customFormat="false" ht="15.75" hidden="false" customHeight="true" outlineLevel="0" collapsed="false">
      <c r="A953" s="77"/>
      <c r="B953" s="77"/>
      <c r="C953" s="77"/>
      <c r="D953" s="77"/>
      <c r="E953" s="77"/>
      <c r="F953" s="77"/>
      <c r="G953" s="77"/>
      <c r="H953" s="77"/>
    </row>
    <row r="954" customFormat="false" ht="15.75" hidden="false" customHeight="true" outlineLevel="0" collapsed="false">
      <c r="A954" s="77"/>
      <c r="B954" s="77"/>
      <c r="C954" s="77"/>
      <c r="D954" s="77"/>
      <c r="E954" s="77"/>
      <c r="F954" s="77"/>
      <c r="G954" s="77"/>
      <c r="H954" s="77"/>
    </row>
    <row r="955" customFormat="false" ht="15.75" hidden="false" customHeight="true" outlineLevel="0" collapsed="false">
      <c r="A955" s="77"/>
      <c r="B955" s="77"/>
      <c r="C955" s="77"/>
      <c r="D955" s="77"/>
      <c r="E955" s="77"/>
      <c r="F955" s="77"/>
      <c r="G955" s="77"/>
      <c r="H955" s="77"/>
    </row>
    <row r="956" customFormat="false" ht="15.75" hidden="false" customHeight="true" outlineLevel="0" collapsed="false">
      <c r="A956" s="77"/>
      <c r="B956" s="77"/>
      <c r="C956" s="77"/>
      <c r="D956" s="77"/>
      <c r="E956" s="77"/>
      <c r="F956" s="77"/>
      <c r="G956" s="77"/>
      <c r="H956" s="77"/>
    </row>
    <row r="957" customFormat="false" ht="15.75" hidden="false" customHeight="true" outlineLevel="0" collapsed="false">
      <c r="A957" s="77"/>
      <c r="B957" s="77"/>
      <c r="C957" s="77"/>
      <c r="D957" s="77"/>
      <c r="E957" s="77"/>
      <c r="F957" s="77"/>
      <c r="G957" s="77"/>
      <c r="H957" s="77"/>
    </row>
    <row r="958" customFormat="false" ht="15.75" hidden="false" customHeight="true" outlineLevel="0" collapsed="false">
      <c r="A958" s="77"/>
      <c r="B958" s="77"/>
      <c r="C958" s="77"/>
      <c r="D958" s="77"/>
      <c r="E958" s="77"/>
      <c r="F958" s="77"/>
      <c r="G958" s="77"/>
      <c r="H958" s="77"/>
    </row>
    <row r="959" customFormat="false" ht="15.75" hidden="false" customHeight="true" outlineLevel="0" collapsed="false">
      <c r="A959" s="77"/>
      <c r="B959" s="77"/>
      <c r="C959" s="77"/>
      <c r="D959" s="77"/>
      <c r="E959" s="77"/>
      <c r="F959" s="77"/>
      <c r="G959" s="77"/>
      <c r="H959" s="77"/>
    </row>
    <row r="960" customFormat="false" ht="15.75" hidden="false" customHeight="true" outlineLevel="0" collapsed="false">
      <c r="A960" s="77"/>
      <c r="B960" s="77"/>
      <c r="C960" s="77"/>
      <c r="D960" s="77"/>
      <c r="E960" s="77"/>
      <c r="F960" s="77"/>
      <c r="G960" s="77"/>
      <c r="H960" s="77"/>
    </row>
    <row r="961" customFormat="false" ht="15.75" hidden="false" customHeight="true" outlineLevel="0" collapsed="false">
      <c r="A961" s="77"/>
      <c r="B961" s="77"/>
      <c r="C961" s="77"/>
      <c r="D961" s="77"/>
      <c r="E961" s="77"/>
      <c r="F961" s="77"/>
      <c r="G961" s="77"/>
      <c r="H961" s="77"/>
    </row>
    <row r="962" customFormat="false" ht="15.75" hidden="false" customHeight="true" outlineLevel="0" collapsed="false">
      <c r="A962" s="77"/>
      <c r="B962" s="77"/>
      <c r="C962" s="77"/>
      <c r="D962" s="77"/>
      <c r="E962" s="77"/>
      <c r="F962" s="77"/>
      <c r="G962" s="77"/>
      <c r="H962" s="77"/>
    </row>
    <row r="963" customFormat="false" ht="15.75" hidden="false" customHeight="true" outlineLevel="0" collapsed="false">
      <c r="A963" s="77"/>
      <c r="B963" s="77"/>
      <c r="C963" s="77"/>
      <c r="D963" s="77"/>
      <c r="E963" s="77"/>
      <c r="F963" s="77"/>
      <c r="G963" s="77"/>
      <c r="H963" s="77"/>
    </row>
    <row r="964" customFormat="false" ht="15.75" hidden="false" customHeight="true" outlineLevel="0" collapsed="false">
      <c r="A964" s="77"/>
      <c r="B964" s="77"/>
      <c r="C964" s="77"/>
      <c r="D964" s="77"/>
      <c r="E964" s="77"/>
      <c r="F964" s="77"/>
      <c r="G964" s="77"/>
      <c r="H964" s="77"/>
    </row>
    <row r="965" customFormat="false" ht="15.75" hidden="false" customHeight="true" outlineLevel="0" collapsed="false">
      <c r="A965" s="77"/>
      <c r="B965" s="77"/>
      <c r="C965" s="77"/>
      <c r="D965" s="77"/>
      <c r="E965" s="77"/>
      <c r="F965" s="77"/>
      <c r="G965" s="77"/>
      <c r="H965" s="77"/>
    </row>
    <row r="966" customFormat="false" ht="15.75" hidden="false" customHeight="true" outlineLevel="0" collapsed="false">
      <c r="A966" s="77"/>
      <c r="B966" s="77"/>
      <c r="C966" s="77"/>
      <c r="D966" s="77"/>
      <c r="E966" s="77"/>
      <c r="F966" s="77"/>
      <c r="G966" s="77"/>
      <c r="H966" s="77"/>
    </row>
    <row r="967" customFormat="false" ht="15.75" hidden="false" customHeight="true" outlineLevel="0" collapsed="false">
      <c r="A967" s="77"/>
      <c r="B967" s="77"/>
      <c r="C967" s="77"/>
      <c r="D967" s="77"/>
      <c r="E967" s="77"/>
      <c r="F967" s="77"/>
      <c r="G967" s="77"/>
      <c r="H967" s="77"/>
    </row>
    <row r="968" customFormat="false" ht="15.75" hidden="false" customHeight="true" outlineLevel="0" collapsed="false">
      <c r="A968" s="77"/>
      <c r="B968" s="77"/>
      <c r="C968" s="77"/>
      <c r="D968" s="77"/>
      <c r="E968" s="77"/>
      <c r="F968" s="77"/>
      <c r="G968" s="77"/>
      <c r="H968" s="77"/>
    </row>
    <row r="969" customFormat="false" ht="15.75" hidden="false" customHeight="true" outlineLevel="0" collapsed="false">
      <c r="A969" s="77"/>
      <c r="B969" s="77"/>
      <c r="C969" s="77"/>
      <c r="D969" s="77"/>
      <c r="E969" s="77"/>
      <c r="F969" s="77"/>
      <c r="G969" s="77"/>
      <c r="H969" s="77"/>
    </row>
    <row r="970" customFormat="false" ht="15.75" hidden="false" customHeight="true" outlineLevel="0" collapsed="false">
      <c r="A970" s="77"/>
      <c r="B970" s="77"/>
      <c r="C970" s="77"/>
      <c r="D970" s="77"/>
      <c r="E970" s="77"/>
      <c r="F970" s="77"/>
      <c r="G970" s="77"/>
      <c r="H970" s="77"/>
    </row>
    <row r="971" customFormat="false" ht="15.75" hidden="false" customHeight="true" outlineLevel="0" collapsed="false">
      <c r="A971" s="77"/>
      <c r="B971" s="77"/>
      <c r="C971" s="77"/>
      <c r="D971" s="77"/>
      <c r="E971" s="77"/>
      <c r="F971" s="77"/>
      <c r="G971" s="77"/>
      <c r="H971" s="77"/>
    </row>
    <row r="972" customFormat="false" ht="15.75" hidden="false" customHeight="true" outlineLevel="0" collapsed="false">
      <c r="A972" s="77"/>
      <c r="B972" s="77"/>
      <c r="C972" s="77"/>
      <c r="D972" s="77"/>
      <c r="E972" s="77"/>
      <c r="F972" s="77"/>
      <c r="G972" s="77"/>
      <c r="H972" s="77"/>
    </row>
    <row r="973" customFormat="false" ht="15.75" hidden="false" customHeight="true" outlineLevel="0" collapsed="false">
      <c r="A973" s="77"/>
      <c r="B973" s="77"/>
      <c r="C973" s="77"/>
      <c r="D973" s="77"/>
      <c r="E973" s="77"/>
      <c r="F973" s="77"/>
      <c r="G973" s="77"/>
      <c r="H973" s="77"/>
    </row>
    <row r="974" customFormat="false" ht="15.75" hidden="false" customHeight="true" outlineLevel="0" collapsed="false">
      <c r="A974" s="77"/>
      <c r="B974" s="77"/>
      <c r="C974" s="77"/>
      <c r="D974" s="77"/>
      <c r="E974" s="77"/>
      <c r="F974" s="77"/>
      <c r="G974" s="77"/>
      <c r="H974" s="77"/>
    </row>
    <row r="975" customFormat="false" ht="15.75" hidden="false" customHeight="true" outlineLevel="0" collapsed="false">
      <c r="A975" s="77"/>
      <c r="B975" s="77"/>
      <c r="C975" s="77"/>
      <c r="D975" s="77"/>
      <c r="E975" s="77"/>
      <c r="F975" s="77"/>
      <c r="G975" s="77"/>
      <c r="H975" s="77"/>
    </row>
    <row r="976" customFormat="false" ht="15.75" hidden="false" customHeight="true" outlineLevel="0" collapsed="false">
      <c r="A976" s="77"/>
      <c r="B976" s="77"/>
      <c r="C976" s="77"/>
      <c r="D976" s="77"/>
      <c r="E976" s="77"/>
      <c r="F976" s="77"/>
      <c r="G976" s="77"/>
      <c r="H976" s="77"/>
    </row>
    <row r="977" customFormat="false" ht="15.75" hidden="false" customHeight="true" outlineLevel="0" collapsed="false">
      <c r="A977" s="77"/>
      <c r="B977" s="77"/>
      <c r="C977" s="77"/>
      <c r="D977" s="77"/>
      <c r="E977" s="77"/>
      <c r="F977" s="77"/>
      <c r="G977" s="77"/>
      <c r="H977" s="77"/>
    </row>
    <row r="978" customFormat="false" ht="15.75" hidden="false" customHeight="true" outlineLevel="0" collapsed="false">
      <c r="A978" s="77"/>
      <c r="B978" s="77"/>
      <c r="C978" s="77"/>
      <c r="D978" s="77"/>
      <c r="E978" s="77"/>
      <c r="F978" s="77"/>
      <c r="G978" s="77"/>
      <c r="H978" s="77"/>
    </row>
    <row r="979" customFormat="false" ht="15.75" hidden="false" customHeight="true" outlineLevel="0" collapsed="false">
      <c r="A979" s="77"/>
      <c r="B979" s="77"/>
      <c r="C979" s="77"/>
      <c r="D979" s="77"/>
      <c r="E979" s="77"/>
      <c r="F979" s="77"/>
      <c r="G979" s="77"/>
      <c r="H979" s="77"/>
    </row>
    <row r="980" customFormat="false" ht="15.75" hidden="false" customHeight="true" outlineLevel="0" collapsed="false">
      <c r="A980" s="77"/>
      <c r="B980" s="77"/>
      <c r="C980" s="77"/>
      <c r="D980" s="77"/>
      <c r="E980" s="77"/>
      <c r="F980" s="77"/>
      <c r="G980" s="77"/>
      <c r="H980" s="77"/>
    </row>
    <row r="981" customFormat="false" ht="15.75" hidden="false" customHeight="true" outlineLevel="0" collapsed="false">
      <c r="A981" s="77"/>
      <c r="B981" s="77"/>
      <c r="C981" s="77"/>
      <c r="D981" s="77"/>
      <c r="E981" s="77"/>
      <c r="F981" s="77"/>
      <c r="G981" s="77"/>
      <c r="H981" s="77"/>
    </row>
    <row r="982" customFormat="false" ht="15.75" hidden="false" customHeight="true" outlineLevel="0" collapsed="false">
      <c r="A982" s="77"/>
      <c r="B982" s="77"/>
      <c r="C982" s="77"/>
      <c r="D982" s="77"/>
      <c r="E982" s="77"/>
      <c r="F982" s="77"/>
      <c r="G982" s="77"/>
      <c r="H982" s="77"/>
    </row>
    <row r="983" customFormat="false" ht="15.75" hidden="false" customHeight="true" outlineLevel="0" collapsed="false">
      <c r="A983" s="77"/>
      <c r="B983" s="77"/>
      <c r="C983" s="77"/>
      <c r="D983" s="77"/>
      <c r="E983" s="77"/>
      <c r="F983" s="77"/>
      <c r="G983" s="77"/>
      <c r="H983" s="77"/>
    </row>
    <row r="984" customFormat="false" ht="15.75" hidden="false" customHeight="true" outlineLevel="0" collapsed="false">
      <c r="A984" s="77"/>
      <c r="B984" s="77"/>
      <c r="C984" s="77"/>
      <c r="D984" s="77"/>
      <c r="E984" s="77"/>
      <c r="F984" s="77"/>
      <c r="G984" s="77"/>
      <c r="H984" s="77"/>
    </row>
    <row r="985" customFormat="false" ht="15.75" hidden="false" customHeight="true" outlineLevel="0" collapsed="false">
      <c r="A985" s="77"/>
      <c r="B985" s="77"/>
      <c r="C985" s="77"/>
      <c r="D985" s="77"/>
      <c r="E985" s="77"/>
      <c r="F985" s="77"/>
      <c r="G985" s="77"/>
      <c r="H985" s="77"/>
    </row>
    <row r="986" customFormat="false" ht="15.75" hidden="false" customHeight="true" outlineLevel="0" collapsed="false">
      <c r="A986" s="77"/>
      <c r="B986" s="77"/>
      <c r="C986" s="77"/>
      <c r="D986" s="77"/>
      <c r="E986" s="77"/>
      <c r="F986" s="77"/>
      <c r="G986" s="77"/>
      <c r="H986" s="77"/>
    </row>
    <row r="987" customFormat="false" ht="15.75" hidden="false" customHeight="true" outlineLevel="0" collapsed="false">
      <c r="A987" s="77"/>
      <c r="B987" s="77"/>
      <c r="C987" s="77"/>
      <c r="D987" s="77"/>
      <c r="E987" s="77"/>
      <c r="F987" s="77"/>
      <c r="G987" s="77"/>
      <c r="H987" s="77"/>
    </row>
    <row r="988" customFormat="false" ht="15.75" hidden="false" customHeight="true" outlineLevel="0" collapsed="false">
      <c r="A988" s="77"/>
      <c r="B988" s="77"/>
      <c r="C988" s="77"/>
      <c r="D988" s="77"/>
      <c r="E988" s="77"/>
      <c r="F988" s="77"/>
      <c r="G988" s="77"/>
      <c r="H988" s="77"/>
    </row>
    <row r="989" customFormat="false" ht="15.75" hidden="false" customHeight="true" outlineLevel="0" collapsed="false">
      <c r="A989" s="77"/>
      <c r="B989" s="77"/>
      <c r="C989" s="77"/>
      <c r="D989" s="77"/>
      <c r="E989" s="77"/>
      <c r="F989" s="77"/>
      <c r="G989" s="77"/>
      <c r="H989" s="77"/>
    </row>
    <row r="990" customFormat="false" ht="15.75" hidden="false" customHeight="true" outlineLevel="0" collapsed="false">
      <c r="A990" s="77"/>
      <c r="B990" s="77"/>
      <c r="C990" s="77"/>
      <c r="D990" s="77"/>
      <c r="E990" s="77"/>
      <c r="F990" s="77"/>
      <c r="G990" s="77"/>
      <c r="H990" s="77"/>
    </row>
    <row r="991" customFormat="false" ht="15.75" hidden="false" customHeight="true" outlineLevel="0" collapsed="false">
      <c r="A991" s="77"/>
      <c r="B991" s="77"/>
      <c r="C991" s="77"/>
      <c r="D991" s="77"/>
      <c r="E991" s="77"/>
      <c r="F991" s="77"/>
      <c r="G991" s="77"/>
      <c r="H991" s="77"/>
    </row>
    <row r="992" customFormat="false" ht="15.75" hidden="false" customHeight="true" outlineLevel="0" collapsed="false">
      <c r="A992" s="77"/>
      <c r="B992" s="77"/>
      <c r="C992" s="77"/>
      <c r="D992" s="77"/>
      <c r="E992" s="77"/>
      <c r="F992" s="77"/>
      <c r="G992" s="77"/>
      <c r="H992" s="77"/>
    </row>
    <row r="993" customFormat="false" ht="15.75" hidden="false" customHeight="true" outlineLevel="0" collapsed="false">
      <c r="A993" s="77"/>
      <c r="B993" s="77"/>
      <c r="C993" s="77"/>
      <c r="D993" s="77"/>
      <c r="E993" s="77"/>
      <c r="F993" s="77"/>
      <c r="G993" s="77"/>
      <c r="H993" s="77"/>
    </row>
    <row r="994" customFormat="false" ht="15.75" hidden="false" customHeight="true" outlineLevel="0" collapsed="false">
      <c r="A994" s="77"/>
      <c r="B994" s="77"/>
      <c r="C994" s="77"/>
      <c r="D994" s="77"/>
      <c r="E994" s="77"/>
      <c r="F994" s="77"/>
      <c r="G994" s="77"/>
      <c r="H994" s="77"/>
    </row>
    <row r="995" customFormat="false" ht="15.75" hidden="false" customHeight="true" outlineLevel="0" collapsed="false">
      <c r="A995" s="77"/>
      <c r="B995" s="77"/>
      <c r="C995" s="77"/>
      <c r="D995" s="77"/>
      <c r="E995" s="77"/>
      <c r="F995" s="77"/>
      <c r="G995" s="77"/>
      <c r="H995" s="77"/>
    </row>
    <row r="996" customFormat="false" ht="15.75" hidden="false" customHeight="true" outlineLevel="0" collapsed="false">
      <c r="A996" s="77"/>
      <c r="B996" s="77"/>
      <c r="C996" s="77"/>
      <c r="D996" s="77"/>
      <c r="E996" s="77"/>
      <c r="F996" s="77"/>
      <c r="G996" s="77"/>
      <c r="H996" s="77"/>
    </row>
    <row r="997" customFormat="false" ht="15.75" hidden="false" customHeight="true" outlineLevel="0" collapsed="false">
      <c r="A997" s="77"/>
      <c r="B997" s="77"/>
      <c r="C997" s="77"/>
      <c r="D997" s="77"/>
      <c r="E997" s="77"/>
      <c r="F997" s="77"/>
      <c r="G997" s="77"/>
      <c r="H997" s="77"/>
    </row>
    <row r="998" customFormat="false" ht="15.75" hidden="false" customHeight="true" outlineLevel="0" collapsed="false">
      <c r="A998" s="77"/>
      <c r="B998" s="77"/>
      <c r="C998" s="77"/>
      <c r="D998" s="77"/>
      <c r="E998" s="77"/>
      <c r="F998" s="77"/>
      <c r="G998" s="77"/>
      <c r="H998" s="77"/>
    </row>
    <row r="999" customFormat="false" ht="15.75" hidden="false" customHeight="true" outlineLevel="0" collapsed="false">
      <c r="A999" s="77"/>
      <c r="B999" s="77"/>
      <c r="C999" s="77"/>
      <c r="D999" s="77"/>
      <c r="E999" s="77"/>
      <c r="F999" s="77"/>
      <c r="G999" s="77"/>
      <c r="H999" s="77"/>
    </row>
    <row r="1000" customFormat="false" ht="15.75" hidden="false" customHeight="true" outlineLevel="0" collapsed="false">
      <c r="A1000" s="77"/>
      <c r="B1000" s="77"/>
      <c r="C1000" s="77"/>
      <c r="D1000" s="77"/>
      <c r="E1000" s="77"/>
      <c r="F1000" s="77"/>
      <c r="G1000" s="77"/>
      <c r="H1000" s="77"/>
    </row>
  </sheetData>
  <dataValidations count="2">
    <dataValidation allowBlank="true" errorStyle="stop" operator="between" showDropDown="false" showErrorMessage="false" showInputMessage="false" sqref="D6:D59" type="list">
      <formula1>"bolsillo,ventas"</formula1>
      <formula2>0</formula2>
    </dataValidation>
    <dataValidation allowBlank="true" errorStyle="stop" operator="between" showDropDown="false" showErrorMessage="false" showInputMessage="false" sqref="C6:C59" type="list">
      <formula1>"publicidad,exhibidores,envíos,packaging,otros"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3.5"/>
    <col collapsed="false" customWidth="true" hidden="false" outlineLevel="0" max="2" min="2" style="0" width="33.25"/>
    <col collapsed="false" customWidth="true" hidden="false" outlineLevel="0" max="7" min="3" style="0" width="14"/>
    <col collapsed="false" customWidth="true" hidden="false" outlineLevel="0" max="26" min="8" style="0" width="7.63"/>
  </cols>
  <sheetData>
    <row r="2" customFormat="false" ht="18.55" hidden="false" customHeight="false" outlineLevel="0" collapsed="false">
      <c r="B2" s="104" t="s">
        <v>402</v>
      </c>
    </row>
    <row r="3" customFormat="false" ht="15" hidden="false" customHeight="false" outlineLevel="0" collapsed="false">
      <c r="B3" s="105" t="s">
        <v>403</v>
      </c>
    </row>
    <row r="5" customFormat="false" ht="15" hidden="false" customHeight="false" outlineLevel="0" collapsed="false">
      <c r="B5" s="106" t="s">
        <v>404</v>
      </c>
      <c r="C5" s="107"/>
      <c r="D5" s="107"/>
    </row>
    <row r="6" customFormat="false" ht="15" hidden="false" customHeight="false" outlineLevel="0" collapsed="false">
      <c r="B6" s="77" t="s">
        <v>405</v>
      </c>
      <c r="C6" s="108" t="n">
        <v>600000</v>
      </c>
      <c r="D6" s="109" t="s">
        <v>406</v>
      </c>
    </row>
    <row r="8" customFormat="false" ht="15" hidden="false" customHeight="false" outlineLevel="0" collapsed="false">
      <c r="B8" s="106" t="s">
        <v>407</v>
      </c>
      <c r="C8" s="107"/>
      <c r="D8" s="107"/>
    </row>
    <row r="9" customFormat="false" ht="15" hidden="false" customHeight="false" outlineLevel="0" collapsed="false">
      <c r="B9" s="77" t="s">
        <v>408</v>
      </c>
      <c r="C9" s="110" t="n">
        <v>20000</v>
      </c>
    </row>
    <row r="10" customFormat="false" ht="15" hidden="false" customHeight="false" outlineLevel="0" collapsed="false">
      <c r="B10" s="77" t="s">
        <v>409</v>
      </c>
      <c r="C10" s="110" t="n">
        <v>10000</v>
      </c>
      <c r="D10" s="109" t="s">
        <v>410</v>
      </c>
    </row>
    <row r="11" customFormat="false" ht="15" hidden="false" customHeight="false" outlineLevel="0" collapsed="false">
      <c r="B11" s="77" t="s">
        <v>411</v>
      </c>
      <c r="C11" s="110" t="n">
        <v>1500</v>
      </c>
    </row>
    <row r="12" customFormat="false" ht="15" hidden="false" customHeight="false" outlineLevel="0" collapsed="false">
      <c r="B12" s="111" t="s">
        <v>412</v>
      </c>
      <c r="C12" s="112" t="n">
        <f aca="false">C9-C10-C11</f>
        <v>8500</v>
      </c>
    </row>
    <row r="13" customFormat="false" ht="15" hidden="false" customHeight="false" outlineLevel="0" collapsed="false">
      <c r="B13" s="77" t="s">
        <v>413</v>
      </c>
      <c r="C13" s="113" t="n">
        <f aca="false">IF(C9=0,"",C12/C9)</f>
        <v>0.425</v>
      </c>
    </row>
    <row r="15" customFormat="false" ht="15" hidden="false" customHeight="false" outlineLevel="0" collapsed="false">
      <c r="B15" s="106" t="s">
        <v>414</v>
      </c>
      <c r="C15" s="107"/>
      <c r="D15" s="107"/>
    </row>
    <row r="16" customFormat="false" ht="15" hidden="false" customHeight="false" outlineLevel="0" collapsed="false">
      <c r="B16" s="111" t="s">
        <v>415</v>
      </c>
      <c r="C16" s="114" t="n">
        <f aca="false">IF(C12&lt;=0,"",ROUNDUP(C6/C12,0))</f>
        <v>71</v>
      </c>
    </row>
    <row r="17" customFormat="false" ht="15" hidden="false" customHeight="false" outlineLevel="0" collapsed="false">
      <c r="B17" s="111" t="s">
        <v>416</v>
      </c>
      <c r="C17" s="115" t="n">
        <f aca="false">IF(C16="","",C16*C9)</f>
        <v>1420000</v>
      </c>
    </row>
    <row r="18" customFormat="false" ht="15" hidden="false" customHeight="false" outlineLevel="0" collapsed="false">
      <c r="B18" s="77" t="s">
        <v>417</v>
      </c>
      <c r="C18" s="116" t="n">
        <f aca="false">IF(C16="","",ROUNDUP(C16/2,0))</f>
        <v>36</v>
      </c>
    </row>
    <row r="19" customFormat="false" ht="15" hidden="false" customHeight="false" outlineLevel="0" collapsed="false">
      <c r="B19" s="77" t="s">
        <v>418</v>
      </c>
      <c r="C19" s="117" t="n">
        <f aca="false">IF(C16="","",ROUND(C16/16,1))</f>
        <v>4.4</v>
      </c>
    </row>
    <row r="20" customFormat="false" ht="15" hidden="false" customHeight="false" outlineLevel="0" collapsed="false">
      <c r="B20" s="77" t="s">
        <v>419</v>
      </c>
      <c r="C20" s="113" t="n">
        <f aca="false">IF(C16="","",C6/C16/C9)</f>
        <v>0.422535211267606</v>
      </c>
      <c r="D20" s="109"/>
    </row>
    <row r="21" customFormat="false" ht="15.75" hidden="false" customHeight="true" outlineLevel="0" collapsed="false"/>
    <row r="22" customFormat="false" ht="15.75" hidden="false" customHeight="true" outlineLevel="0" collapsed="false">
      <c r="B22" s="106" t="s">
        <v>420</v>
      </c>
      <c r="C22" s="107"/>
      <c r="D22" s="107"/>
    </row>
    <row r="23" customFormat="false" ht="30" hidden="false" customHeight="true" outlineLevel="0" collapsed="false">
      <c r="B23" s="118" t="s">
        <v>421</v>
      </c>
      <c r="C23" s="118" t="s">
        <v>422</v>
      </c>
      <c r="D23" s="118" t="s">
        <v>423</v>
      </c>
      <c r="E23" s="118" t="s">
        <v>424</v>
      </c>
      <c r="F23" s="118" t="s">
        <v>425</v>
      </c>
    </row>
    <row r="24" customFormat="false" ht="15.75" hidden="false" customHeight="true" outlineLevel="0" collapsed="false">
      <c r="B24" s="119" t="n">
        <v>40</v>
      </c>
      <c r="C24" s="120" t="n">
        <f aca="false">B24*$C$9</f>
        <v>800000</v>
      </c>
      <c r="D24" s="120" t="n">
        <f aca="false">B24*$C$12</f>
        <v>340000</v>
      </c>
      <c r="E24" s="121" t="n">
        <f aca="false">D24-$C$6</f>
        <v>-260000</v>
      </c>
      <c r="F24" s="122" t="n">
        <f aca="false">$C$6/B24/$C$9</f>
        <v>0.75</v>
      </c>
    </row>
    <row r="25" customFormat="false" ht="15.75" hidden="false" customHeight="true" outlineLevel="0" collapsed="false">
      <c r="B25" s="119" t="n">
        <v>60</v>
      </c>
      <c r="C25" s="120" t="n">
        <f aca="false">B25*$C$9</f>
        <v>1200000</v>
      </c>
      <c r="D25" s="120" t="n">
        <f aca="false">B25*$C$12</f>
        <v>510000</v>
      </c>
      <c r="E25" s="121" t="n">
        <f aca="false">D25-$C$6</f>
        <v>-90000</v>
      </c>
      <c r="F25" s="122" t="n">
        <f aca="false">$C$6/B25/$C$9</f>
        <v>0.5</v>
      </c>
    </row>
    <row r="26" customFormat="false" ht="15.75" hidden="false" customHeight="true" outlineLevel="0" collapsed="false">
      <c r="B26" s="123" t="n">
        <f aca="false">$C$16</f>
        <v>71</v>
      </c>
      <c r="C26" s="124" t="n">
        <f aca="false">B26*$C$9</f>
        <v>1420000</v>
      </c>
      <c r="D26" s="124" t="n">
        <f aca="false">B26*$C$12</f>
        <v>603500</v>
      </c>
      <c r="E26" s="125" t="n">
        <f aca="false">D26-$C$6</f>
        <v>3500</v>
      </c>
      <c r="F26" s="126" t="n">
        <f aca="false">$C$6/B26/$C$9</f>
        <v>0.422535211267606</v>
      </c>
      <c r="G26" s="109" t="s">
        <v>426</v>
      </c>
    </row>
    <row r="27" customFormat="false" ht="15.75" hidden="false" customHeight="true" outlineLevel="0" collapsed="false">
      <c r="B27" s="119" t="n">
        <v>80</v>
      </c>
      <c r="C27" s="120" t="n">
        <f aca="false">B27*$C$9</f>
        <v>1600000</v>
      </c>
      <c r="D27" s="120" t="n">
        <f aca="false">B27*$C$12</f>
        <v>680000</v>
      </c>
      <c r="E27" s="121" t="n">
        <f aca="false">D27-$C$6</f>
        <v>80000</v>
      </c>
      <c r="F27" s="122" t="n">
        <f aca="false">$C$6/B27/$C$9</f>
        <v>0.375</v>
      </c>
    </row>
    <row r="28" customFormat="false" ht="15.75" hidden="false" customHeight="true" outlineLevel="0" collapsed="false">
      <c r="B28" s="119" t="n">
        <v>100</v>
      </c>
      <c r="C28" s="120" t="n">
        <f aca="false">B28*$C$9</f>
        <v>2000000</v>
      </c>
      <c r="D28" s="120" t="n">
        <f aca="false">B28*$C$12</f>
        <v>850000</v>
      </c>
      <c r="E28" s="121" t="n">
        <f aca="false">D28-$C$6</f>
        <v>250000</v>
      </c>
      <c r="F28" s="122" t="n">
        <f aca="false">$C$6/B28/$C$9</f>
        <v>0.3</v>
      </c>
    </row>
    <row r="29" customFormat="false" ht="15.75" hidden="false" customHeight="true" outlineLevel="0" collapsed="false">
      <c r="B29" s="119" t="n">
        <v>120</v>
      </c>
      <c r="C29" s="120" t="n">
        <f aca="false">B29*$C$9</f>
        <v>2400000</v>
      </c>
      <c r="D29" s="120" t="n">
        <f aca="false">B29*$C$12</f>
        <v>1020000</v>
      </c>
      <c r="E29" s="121" t="n">
        <f aca="false">D29-$C$6</f>
        <v>420000</v>
      </c>
      <c r="F29" s="122" t="n">
        <f aca="false">$C$6/B29/$C$9</f>
        <v>0.25</v>
      </c>
    </row>
    <row r="30" customFormat="false" ht="15.75" hidden="false" customHeight="true" outlineLevel="0" collapsed="false">
      <c r="B30" s="119" t="n">
        <v>150</v>
      </c>
      <c r="C30" s="120" t="n">
        <f aca="false">B30*$C$9</f>
        <v>3000000</v>
      </c>
      <c r="D30" s="120" t="n">
        <f aca="false">B30*$C$12</f>
        <v>1275000</v>
      </c>
      <c r="E30" s="121" t="n">
        <f aca="false">D30-$C$6</f>
        <v>675000</v>
      </c>
      <c r="F30" s="122" t="n">
        <f aca="false">$C$6/B30/$C$9</f>
        <v>0.2</v>
      </c>
    </row>
    <row r="31" customFormat="false" ht="15.75" hidden="false" customHeight="true" outlineLevel="0" collapsed="false">
      <c r="B31" s="119" t="n">
        <v>200</v>
      </c>
      <c r="C31" s="120" t="n">
        <f aca="false">B31*$C$9</f>
        <v>4000000</v>
      </c>
      <c r="D31" s="120" t="n">
        <f aca="false">B31*$C$12</f>
        <v>1700000</v>
      </c>
      <c r="E31" s="121" t="n">
        <f aca="false">D31-$C$6</f>
        <v>1100000</v>
      </c>
      <c r="F31" s="122" t="n">
        <f aca="false">$C$6/B31/$C$9</f>
        <v>0.15</v>
      </c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>
      <c r="B34" s="127" t="s">
        <v>427</v>
      </c>
    </row>
    <row r="35" customFormat="false" ht="15.75" hidden="false" customHeight="true" outlineLevel="0" collapsed="false">
      <c r="B35" s="128" t="s">
        <v>428</v>
      </c>
    </row>
    <row r="36" customFormat="false" ht="15.75" hidden="false" customHeight="true" outlineLevel="0" collapsed="false">
      <c r="B36" s="128" t="s">
        <v>429</v>
      </c>
    </row>
    <row r="37" customFormat="false" ht="15.75" hidden="false" customHeight="true" outlineLevel="0" collapsed="false">
      <c r="B37" s="128" t="s">
        <v>430</v>
      </c>
    </row>
    <row r="38" customFormat="false" ht="15.75" hidden="false" customHeight="true" outlineLevel="0" collapsed="false">
      <c r="B38" s="128" t="s">
        <v>431</v>
      </c>
    </row>
    <row r="39" customFormat="false" ht="15.75" hidden="false" customHeight="true" outlineLevel="0" collapsed="false">
      <c r="B39" s="129" t="s">
        <v>432</v>
      </c>
    </row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4.25"/>
    <col collapsed="false" customWidth="true" hidden="false" outlineLevel="0" max="5" min="5" style="0" width="40"/>
    <col collapsed="false" customWidth="true" hidden="false" outlineLevel="0" max="6" min="6" style="0" width="23.63"/>
  </cols>
  <sheetData>
    <row r="1" customFormat="false" ht="15" hidden="false" customHeight="true" outlineLevel="0" collapsed="false">
      <c r="A1" s="4" t="s">
        <v>433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5" t="s">
        <v>3</v>
      </c>
      <c r="B2" s="5" t="s">
        <v>4</v>
      </c>
      <c r="C2" s="5" t="s">
        <v>5</v>
      </c>
      <c r="D2" s="5" t="s">
        <v>6</v>
      </c>
      <c r="E2" s="6" t="s">
        <v>7</v>
      </c>
      <c r="F2" s="6" t="s">
        <v>8</v>
      </c>
      <c r="H2" s="130" t="s">
        <v>434</v>
      </c>
    </row>
    <row r="3" customFormat="false" ht="81.75" hidden="false" customHeight="true" outlineLevel="0" collapsed="false">
      <c r="A3" s="7" t="s">
        <v>435</v>
      </c>
      <c r="B3" s="131" t="n">
        <v>1840</v>
      </c>
      <c r="C3" s="132" t="n">
        <v>1</v>
      </c>
      <c r="D3" s="133" t="n">
        <f aca="false">IFERROR(B3/C3,0)</f>
        <v>1840</v>
      </c>
      <c r="E3" s="134" t="s">
        <v>436</v>
      </c>
      <c r="F3" s="11"/>
      <c r="H3" s="135" t="s">
        <v>437</v>
      </c>
    </row>
    <row r="4" customFormat="false" ht="68.25" hidden="false" customHeight="true" outlineLevel="0" collapsed="false">
      <c r="A4" s="7" t="s">
        <v>12</v>
      </c>
      <c r="B4" s="131" t="n">
        <v>2783</v>
      </c>
      <c r="C4" s="132" t="n">
        <v>60</v>
      </c>
      <c r="D4" s="133" t="n">
        <f aca="false">IFERROR(B4/C4,0)</f>
        <v>46.3833333333333</v>
      </c>
      <c r="E4" s="11" t="s">
        <v>438</v>
      </c>
      <c r="F4" s="11"/>
    </row>
    <row r="5" customFormat="false" ht="15" hidden="false" customHeight="true" outlineLevel="0" collapsed="false">
      <c r="A5" s="13" t="s">
        <v>26</v>
      </c>
      <c r="B5" s="15"/>
      <c r="C5" s="15"/>
      <c r="D5" s="16" t="n">
        <f aca="false">SUM(D3:D4)</f>
        <v>1886.38333333333</v>
      </c>
      <c r="E5" s="16"/>
      <c r="F5" s="16"/>
    </row>
    <row r="6" customFormat="false" ht="15" hidden="false" customHeight="true" outlineLevel="0" collapsed="false">
      <c r="A6" s="2"/>
      <c r="B6" s="17"/>
      <c r="C6" s="136"/>
      <c r="D6" s="17"/>
      <c r="E6" s="2"/>
      <c r="F6" s="2"/>
    </row>
    <row r="7" customFormat="false" ht="15" hidden="false" customHeight="true" outlineLevel="0" collapsed="false">
      <c r="A7" s="2"/>
      <c r="B7" s="17"/>
      <c r="C7" s="136"/>
      <c r="D7" s="17"/>
      <c r="E7" s="2"/>
      <c r="F7" s="2"/>
    </row>
    <row r="8" customFormat="false" ht="15" hidden="false" customHeight="true" outlineLevel="0" collapsed="false">
      <c r="A8" s="4" t="s">
        <v>439</v>
      </c>
      <c r="B8" s="2"/>
      <c r="C8" s="2"/>
      <c r="D8" s="2"/>
      <c r="E8" s="2"/>
      <c r="F8" s="2"/>
    </row>
    <row r="9" customFormat="false" ht="15" hidden="false" customHeight="true" outlineLevel="0" collapsed="false">
      <c r="A9" s="5" t="s">
        <v>3</v>
      </c>
      <c r="B9" s="5" t="s">
        <v>4</v>
      </c>
      <c r="C9" s="5" t="s">
        <v>5</v>
      </c>
      <c r="D9" s="5" t="s">
        <v>6</v>
      </c>
      <c r="E9" s="6" t="s">
        <v>7</v>
      </c>
      <c r="F9" s="6" t="s">
        <v>8</v>
      </c>
    </row>
    <row r="10" customFormat="false" ht="57" hidden="false" customHeight="true" outlineLevel="0" collapsed="false">
      <c r="A10" s="7" t="s">
        <v>9</v>
      </c>
      <c r="B10" s="8" t="n">
        <v>1936</v>
      </c>
      <c r="C10" s="9" t="n">
        <v>70</v>
      </c>
      <c r="D10" s="10" t="n">
        <f aca="false">IFERROR(B10/C10,0)</f>
        <v>27.6571428571429</v>
      </c>
      <c r="E10" s="11" t="s">
        <v>10</v>
      </c>
      <c r="F10" s="11" t="s">
        <v>440</v>
      </c>
      <c r="H10" s="130" t="s">
        <v>434</v>
      </c>
    </row>
    <row r="11" customFormat="false" ht="57" hidden="false" customHeight="true" outlineLevel="0" collapsed="false">
      <c r="A11" s="7" t="s">
        <v>12</v>
      </c>
      <c r="B11" s="8" t="n">
        <v>2783</v>
      </c>
      <c r="C11" s="9" t="n">
        <v>60</v>
      </c>
      <c r="D11" s="10" t="n">
        <f aca="false">IFERROR(B11/C11,0)</f>
        <v>46.3833333333333</v>
      </c>
      <c r="E11" s="11" t="s">
        <v>13</v>
      </c>
      <c r="F11" s="11" t="s">
        <v>441</v>
      </c>
      <c r="H11" s="137" t="s">
        <v>442</v>
      </c>
    </row>
    <row r="12" customFormat="false" ht="63.75" hidden="false" customHeight="true" outlineLevel="0" collapsed="false">
      <c r="A12" s="7" t="s">
        <v>443</v>
      </c>
      <c r="B12" s="8" t="n">
        <v>24364</v>
      </c>
      <c r="C12" s="9" t="n">
        <v>50</v>
      </c>
      <c r="D12" s="10" t="n">
        <f aca="false">IFERROR(B12/C12,0)</f>
        <v>487.28</v>
      </c>
      <c r="E12" s="11" t="s">
        <v>444</v>
      </c>
      <c r="F12" s="11" t="s">
        <v>445</v>
      </c>
      <c r="H12" s="138" t="s">
        <v>446</v>
      </c>
    </row>
    <row r="13" customFormat="false" ht="23.25" hidden="false" customHeight="true" outlineLevel="0" collapsed="false">
      <c r="A13" s="7" t="s">
        <v>447</v>
      </c>
      <c r="B13" s="8" t="n">
        <v>24190</v>
      </c>
      <c r="C13" s="9" t="n">
        <v>50</v>
      </c>
      <c r="D13" s="10" t="n">
        <f aca="false">IFERROR(B13/C13,0)</f>
        <v>483.8</v>
      </c>
      <c r="E13" s="11" t="s">
        <v>448</v>
      </c>
      <c r="F13" s="11"/>
    </row>
    <row r="14" customFormat="false" ht="23.25" hidden="false" customHeight="true" outlineLevel="0" collapsed="false">
      <c r="A14" s="12" t="s">
        <v>24</v>
      </c>
      <c r="B14" s="8"/>
      <c r="C14" s="9" t="n">
        <v>40</v>
      </c>
      <c r="D14" s="10" t="n">
        <f aca="false">IFERROR(B14/C14,0)</f>
        <v>0</v>
      </c>
      <c r="E14" s="11" t="s">
        <v>25</v>
      </c>
      <c r="F14" s="11"/>
    </row>
    <row r="15" customFormat="false" ht="15" hidden="false" customHeight="true" outlineLevel="0" collapsed="false">
      <c r="A15" s="13" t="s">
        <v>26</v>
      </c>
      <c r="B15" s="14"/>
      <c r="C15" s="15"/>
      <c r="D15" s="16" t="n">
        <f aca="false">SUM(D10:D14)</f>
        <v>1045.12047619048</v>
      </c>
      <c r="E15" s="16"/>
      <c r="F15" s="16"/>
    </row>
    <row r="16" customFormat="false" ht="15" hidden="false" customHeight="false" outlineLevel="0" collapsed="false">
      <c r="A16" s="2"/>
      <c r="E16" s="2"/>
      <c r="F16" s="2"/>
    </row>
    <row r="17" customFormat="false" ht="15" hidden="false" customHeight="true" outlineLevel="0" collapsed="false">
      <c r="A17" s="2"/>
      <c r="B17" s="17"/>
      <c r="C17" s="136"/>
      <c r="D17" s="17"/>
      <c r="E17" s="2"/>
      <c r="F17" s="2"/>
    </row>
    <row r="18" customFormat="false" ht="15" hidden="false" customHeight="true" outlineLevel="0" collapsed="false">
      <c r="A18" s="4" t="s">
        <v>449</v>
      </c>
      <c r="B18" s="2"/>
      <c r="C18" s="2"/>
      <c r="D18" s="2"/>
      <c r="E18" s="2"/>
      <c r="F18" s="2"/>
    </row>
    <row r="19" customFormat="false" ht="15" hidden="false" customHeight="true" outlineLevel="0" collapsed="false">
      <c r="A19" s="5" t="s">
        <v>3</v>
      </c>
      <c r="B19" s="5" t="s">
        <v>4</v>
      </c>
      <c r="C19" s="5" t="s">
        <v>5</v>
      </c>
      <c r="D19" s="5" t="s">
        <v>6</v>
      </c>
      <c r="E19" s="6" t="s">
        <v>7</v>
      </c>
      <c r="F19" s="6" t="s">
        <v>450</v>
      </c>
    </row>
    <row r="20" customFormat="false" ht="57" hidden="false" customHeight="true" outlineLevel="0" collapsed="false">
      <c r="A20" s="7" t="s">
        <v>9</v>
      </c>
      <c r="B20" s="8" t="n">
        <v>1936</v>
      </c>
      <c r="C20" s="9" t="n">
        <v>70</v>
      </c>
      <c r="D20" s="10" t="n">
        <f aca="false">IFERROR(B20/C20,0)</f>
        <v>27.6571428571429</v>
      </c>
      <c r="E20" s="11" t="s">
        <v>10</v>
      </c>
      <c r="F20" s="11" t="s">
        <v>11</v>
      </c>
    </row>
    <row r="21" customFormat="false" ht="57" hidden="false" customHeight="true" outlineLevel="0" collapsed="false">
      <c r="A21" s="7" t="s">
        <v>12</v>
      </c>
      <c r="B21" s="8" t="n">
        <v>2783</v>
      </c>
      <c r="C21" s="9" t="n">
        <v>60</v>
      </c>
      <c r="D21" s="10" t="n">
        <f aca="false">IFERROR(B21/C21,0)</f>
        <v>46.3833333333333</v>
      </c>
      <c r="E21" s="11" t="s">
        <v>13</v>
      </c>
      <c r="F21" s="11" t="s">
        <v>14</v>
      </c>
    </row>
    <row r="22" customFormat="false" ht="23.25" hidden="false" customHeight="true" outlineLevel="0" collapsed="false">
      <c r="A22" s="12" t="s">
        <v>451</v>
      </c>
      <c r="B22" s="8"/>
      <c r="C22" s="9"/>
      <c r="D22" s="10"/>
      <c r="E22" s="11"/>
      <c r="F22" s="11" t="s">
        <v>16</v>
      </c>
    </row>
    <row r="23" customFormat="false" ht="23.25" hidden="false" customHeight="true" outlineLevel="0" collapsed="false">
      <c r="A23" s="12" t="s">
        <v>17</v>
      </c>
      <c r="B23" s="8" t="n">
        <v>5414</v>
      </c>
      <c r="C23" s="9" t="n">
        <v>10</v>
      </c>
      <c r="D23" s="10" t="n">
        <f aca="false">IFERROR(B23/C23,0)</f>
        <v>541.4</v>
      </c>
      <c r="E23" s="11"/>
      <c r="F23" s="11" t="s">
        <v>18</v>
      </c>
    </row>
    <row r="24" customFormat="false" ht="23.25" hidden="false" customHeight="true" outlineLevel="0" collapsed="false">
      <c r="A24" s="12" t="s">
        <v>452</v>
      </c>
      <c r="B24" s="8" t="n">
        <v>16500</v>
      </c>
      <c r="C24" s="9" t="n">
        <v>160</v>
      </c>
      <c r="D24" s="10" t="n">
        <f aca="false">IFERROR(B24/C24,0)</f>
        <v>103.125</v>
      </c>
      <c r="E24" s="11"/>
      <c r="F24" s="11" t="s">
        <v>20</v>
      </c>
    </row>
    <row r="25" customFormat="false" ht="23.25" hidden="false" customHeight="true" outlineLevel="0" collapsed="false">
      <c r="A25" s="12" t="s">
        <v>21</v>
      </c>
      <c r="B25" s="8" t="n">
        <v>3220</v>
      </c>
      <c r="C25" s="9" t="n">
        <v>100</v>
      </c>
      <c r="D25" s="10" t="n">
        <f aca="false">IFERROR(B25/C25,0)</f>
        <v>32.2</v>
      </c>
      <c r="E25" s="11" t="s">
        <v>22</v>
      </c>
      <c r="F25" s="11" t="s">
        <v>23</v>
      </c>
    </row>
    <row r="26" customFormat="false" ht="23.25" hidden="false" customHeight="true" outlineLevel="0" collapsed="false">
      <c r="A26" s="12" t="s">
        <v>24</v>
      </c>
      <c r="B26" s="8"/>
      <c r="C26" s="9" t="n">
        <v>40</v>
      </c>
      <c r="D26" s="10" t="n">
        <f aca="false">IFERROR(B26/C26,0)</f>
        <v>0</v>
      </c>
      <c r="E26" s="11" t="s">
        <v>25</v>
      </c>
      <c r="F26" s="11"/>
    </row>
    <row r="27" customFormat="false" ht="15" hidden="false" customHeight="true" outlineLevel="0" collapsed="false">
      <c r="A27" s="13" t="s">
        <v>26</v>
      </c>
      <c r="B27" s="14"/>
      <c r="C27" s="15"/>
      <c r="D27" s="16" t="n">
        <f aca="false">SUM(D20:D26)</f>
        <v>750.765476190476</v>
      </c>
      <c r="E27" s="16"/>
      <c r="F27" s="16"/>
    </row>
    <row r="28" customFormat="false" ht="15.75" hidden="false" customHeight="true" outlineLevel="0" collapsed="false">
      <c r="A28" s="2"/>
      <c r="E28" s="2"/>
      <c r="F28" s="2"/>
    </row>
    <row r="29" customFormat="false" ht="15.75" hidden="false" customHeight="true" outlineLevel="0" collapsed="false">
      <c r="A29" s="2"/>
      <c r="E29" s="2"/>
      <c r="F29" s="2"/>
    </row>
    <row r="30" customFormat="false" ht="15.75" hidden="false" customHeight="true" outlineLevel="0" collapsed="false">
      <c r="A30" s="2"/>
      <c r="E30" s="2"/>
      <c r="F30" s="2"/>
    </row>
    <row r="31" customFormat="false" ht="15.75" hidden="false" customHeight="true" outlineLevel="0" collapsed="false">
      <c r="A31" s="2"/>
      <c r="E31" s="2"/>
      <c r="F31" s="2"/>
    </row>
    <row r="32" customFormat="false" ht="15.75" hidden="false" customHeight="true" outlineLevel="0" collapsed="false">
      <c r="A32" s="2"/>
      <c r="E32" s="2"/>
      <c r="F32" s="2"/>
    </row>
    <row r="33" customFormat="false" ht="15.75" hidden="false" customHeight="true" outlineLevel="0" collapsed="false">
      <c r="A33" s="2"/>
      <c r="E33" s="2"/>
      <c r="F33" s="2"/>
    </row>
    <row r="34" customFormat="false" ht="15.75" hidden="false" customHeight="true" outlineLevel="0" collapsed="false">
      <c r="A34" s="2"/>
      <c r="E34" s="2"/>
      <c r="F34" s="2"/>
    </row>
    <row r="35" customFormat="false" ht="15.75" hidden="false" customHeight="true" outlineLevel="0" collapsed="false">
      <c r="A35" s="2"/>
      <c r="E35" s="2"/>
      <c r="F35" s="2"/>
    </row>
    <row r="36" customFormat="false" ht="15.75" hidden="false" customHeight="true" outlineLevel="0" collapsed="false">
      <c r="A36" s="2"/>
      <c r="E36" s="2"/>
      <c r="F36" s="2"/>
    </row>
    <row r="37" customFormat="false" ht="15.75" hidden="false" customHeight="true" outlineLevel="0" collapsed="false">
      <c r="A37" s="2"/>
      <c r="E37" s="2"/>
      <c r="F37" s="2"/>
    </row>
    <row r="38" customFormat="false" ht="15.75" hidden="false" customHeight="true" outlineLevel="0" collapsed="false">
      <c r="A38" s="2"/>
      <c r="E38" s="2"/>
      <c r="F38" s="2"/>
    </row>
    <row r="39" customFormat="false" ht="15.75" hidden="false" customHeight="true" outlineLevel="0" collapsed="false">
      <c r="A39" s="2"/>
      <c r="E39" s="2"/>
      <c r="F39" s="2"/>
    </row>
    <row r="40" customFormat="false" ht="15.75" hidden="false" customHeight="true" outlineLevel="0" collapsed="false">
      <c r="A40" s="2"/>
      <c r="E40" s="2"/>
      <c r="F40" s="2"/>
    </row>
    <row r="41" customFormat="false" ht="15.75" hidden="false" customHeight="true" outlineLevel="0" collapsed="false">
      <c r="A41" s="2"/>
      <c r="E41" s="2"/>
      <c r="F41" s="2"/>
    </row>
    <row r="42" customFormat="false" ht="15.75" hidden="false" customHeight="true" outlineLevel="0" collapsed="false">
      <c r="A42" s="2"/>
      <c r="E42" s="2"/>
      <c r="F42" s="2"/>
    </row>
    <row r="43" customFormat="false" ht="15.75" hidden="false" customHeight="true" outlineLevel="0" collapsed="false">
      <c r="A43" s="2"/>
      <c r="E43" s="2"/>
      <c r="F43" s="2"/>
    </row>
    <row r="44" customFormat="false" ht="15.75" hidden="false" customHeight="true" outlineLevel="0" collapsed="false">
      <c r="A44" s="2"/>
      <c r="E44" s="2"/>
      <c r="F44" s="2"/>
    </row>
    <row r="45" customFormat="false" ht="15.75" hidden="false" customHeight="true" outlineLevel="0" collapsed="false">
      <c r="A45" s="2"/>
      <c r="E45" s="2"/>
      <c r="F45" s="2"/>
    </row>
    <row r="46" customFormat="false" ht="15.75" hidden="false" customHeight="true" outlineLevel="0" collapsed="false">
      <c r="A46" s="2"/>
      <c r="E46" s="2"/>
      <c r="F46" s="2"/>
    </row>
    <row r="47" customFormat="false" ht="15.75" hidden="false" customHeight="true" outlineLevel="0" collapsed="false">
      <c r="A47" s="2"/>
      <c r="E47" s="2"/>
      <c r="F47" s="2"/>
    </row>
    <row r="48" customFormat="false" ht="15.75" hidden="false" customHeight="true" outlineLevel="0" collapsed="false">
      <c r="A48" s="2"/>
      <c r="E48" s="2"/>
      <c r="F48" s="2"/>
    </row>
    <row r="49" customFormat="false" ht="15.75" hidden="false" customHeight="true" outlineLevel="0" collapsed="false">
      <c r="A49" s="2"/>
      <c r="E49" s="2"/>
      <c r="F49" s="2"/>
    </row>
    <row r="50" customFormat="false" ht="15.75" hidden="false" customHeight="true" outlineLevel="0" collapsed="false">
      <c r="A50" s="2"/>
      <c r="E50" s="2"/>
      <c r="F50" s="2"/>
    </row>
    <row r="51" customFormat="false" ht="15.75" hidden="false" customHeight="true" outlineLevel="0" collapsed="false">
      <c r="A51" s="2"/>
      <c r="E51" s="2"/>
      <c r="F51" s="2"/>
    </row>
    <row r="52" customFormat="false" ht="15.75" hidden="false" customHeight="true" outlineLevel="0" collapsed="false">
      <c r="A52" s="2"/>
      <c r="E52" s="2"/>
      <c r="F52" s="2"/>
    </row>
    <row r="53" customFormat="false" ht="15.75" hidden="false" customHeight="true" outlineLevel="0" collapsed="false">
      <c r="A53" s="2"/>
      <c r="E53" s="2"/>
      <c r="F53" s="2"/>
    </row>
    <row r="54" customFormat="false" ht="15.75" hidden="false" customHeight="true" outlineLevel="0" collapsed="false">
      <c r="A54" s="2"/>
      <c r="E54" s="2"/>
      <c r="F54" s="2"/>
    </row>
    <row r="55" customFormat="false" ht="15.75" hidden="false" customHeight="true" outlineLevel="0" collapsed="false">
      <c r="A55" s="2"/>
      <c r="E55" s="2"/>
      <c r="F55" s="2"/>
    </row>
    <row r="56" customFormat="false" ht="15.75" hidden="false" customHeight="true" outlineLevel="0" collapsed="false">
      <c r="A56" s="2"/>
      <c r="E56" s="2"/>
      <c r="F56" s="2"/>
    </row>
    <row r="57" customFormat="false" ht="15.75" hidden="false" customHeight="true" outlineLevel="0" collapsed="false">
      <c r="A57" s="2"/>
      <c r="E57" s="2"/>
      <c r="F57" s="2"/>
    </row>
    <row r="58" customFormat="false" ht="15.75" hidden="false" customHeight="true" outlineLevel="0" collapsed="false">
      <c r="A58" s="2"/>
      <c r="E58" s="2"/>
      <c r="F58" s="2"/>
    </row>
    <row r="59" customFormat="false" ht="15.75" hidden="false" customHeight="true" outlineLevel="0" collapsed="false">
      <c r="A59" s="2"/>
      <c r="E59" s="2"/>
      <c r="F59" s="2"/>
    </row>
    <row r="60" customFormat="false" ht="15.75" hidden="false" customHeight="true" outlineLevel="0" collapsed="false">
      <c r="A60" s="2"/>
      <c r="E60" s="2"/>
      <c r="F60" s="2"/>
    </row>
    <row r="61" customFormat="false" ht="15.75" hidden="false" customHeight="true" outlineLevel="0" collapsed="false">
      <c r="A61" s="2"/>
      <c r="E61" s="2"/>
      <c r="F61" s="2"/>
    </row>
    <row r="62" customFormat="false" ht="15.75" hidden="false" customHeight="true" outlineLevel="0" collapsed="false">
      <c r="A62" s="2"/>
      <c r="E62" s="2"/>
      <c r="F62" s="2"/>
    </row>
    <row r="63" customFormat="false" ht="15.75" hidden="false" customHeight="true" outlineLevel="0" collapsed="false">
      <c r="A63" s="2"/>
      <c r="E63" s="2"/>
      <c r="F63" s="2"/>
    </row>
    <row r="64" customFormat="false" ht="15.75" hidden="false" customHeight="true" outlineLevel="0" collapsed="false">
      <c r="A64" s="2"/>
      <c r="E64" s="2"/>
      <c r="F64" s="2"/>
    </row>
    <row r="65" customFormat="false" ht="15.75" hidden="false" customHeight="true" outlineLevel="0" collapsed="false">
      <c r="A65" s="2"/>
      <c r="E65" s="2"/>
      <c r="F65" s="2"/>
    </row>
    <row r="66" customFormat="false" ht="15.75" hidden="false" customHeight="true" outlineLevel="0" collapsed="false">
      <c r="A66" s="2"/>
      <c r="E66" s="2"/>
      <c r="F66" s="2"/>
    </row>
    <row r="67" customFormat="false" ht="15.75" hidden="false" customHeight="true" outlineLevel="0" collapsed="false">
      <c r="A67" s="2"/>
      <c r="E67" s="2"/>
      <c r="F67" s="2"/>
    </row>
    <row r="68" customFormat="false" ht="15.75" hidden="false" customHeight="true" outlineLevel="0" collapsed="false">
      <c r="A68" s="2"/>
      <c r="E68" s="2"/>
      <c r="F68" s="2"/>
    </row>
    <row r="69" customFormat="false" ht="15.75" hidden="false" customHeight="true" outlineLevel="0" collapsed="false">
      <c r="A69" s="2"/>
      <c r="E69" s="2"/>
      <c r="F69" s="2"/>
    </row>
    <row r="70" customFormat="false" ht="15.75" hidden="false" customHeight="true" outlineLevel="0" collapsed="false">
      <c r="A70" s="2"/>
      <c r="E70" s="2"/>
      <c r="F70" s="2"/>
    </row>
    <row r="71" customFormat="false" ht="15.75" hidden="false" customHeight="true" outlineLevel="0" collapsed="false">
      <c r="A71" s="2"/>
      <c r="E71" s="2"/>
      <c r="F71" s="2"/>
    </row>
    <row r="72" customFormat="false" ht="15.75" hidden="false" customHeight="true" outlineLevel="0" collapsed="false">
      <c r="A72" s="2"/>
      <c r="E72" s="2"/>
      <c r="F72" s="2"/>
    </row>
    <row r="73" customFormat="false" ht="15.75" hidden="false" customHeight="true" outlineLevel="0" collapsed="false">
      <c r="A73" s="2"/>
      <c r="E73" s="2"/>
      <c r="F73" s="2"/>
    </row>
    <row r="74" customFormat="false" ht="15.75" hidden="false" customHeight="true" outlineLevel="0" collapsed="false">
      <c r="A74" s="2"/>
      <c r="E74" s="2"/>
      <c r="F74" s="2"/>
    </row>
    <row r="75" customFormat="false" ht="15.75" hidden="false" customHeight="true" outlineLevel="0" collapsed="false">
      <c r="A75" s="2"/>
      <c r="E75" s="2"/>
      <c r="F75" s="2"/>
    </row>
    <row r="76" customFormat="false" ht="15.75" hidden="false" customHeight="true" outlineLevel="0" collapsed="false">
      <c r="A76" s="2"/>
      <c r="E76" s="2"/>
      <c r="F76" s="2"/>
    </row>
    <row r="77" customFormat="false" ht="15.75" hidden="false" customHeight="true" outlineLevel="0" collapsed="false">
      <c r="A77" s="2"/>
      <c r="E77" s="2"/>
      <c r="F77" s="2"/>
    </row>
    <row r="78" customFormat="false" ht="15.75" hidden="false" customHeight="true" outlineLevel="0" collapsed="false">
      <c r="A78" s="2"/>
      <c r="E78" s="2"/>
      <c r="F78" s="2"/>
    </row>
    <row r="79" customFormat="false" ht="15.75" hidden="false" customHeight="true" outlineLevel="0" collapsed="false">
      <c r="A79" s="2"/>
      <c r="E79" s="2"/>
      <c r="F79" s="2"/>
    </row>
    <row r="80" customFormat="false" ht="15.75" hidden="false" customHeight="true" outlineLevel="0" collapsed="false">
      <c r="A80" s="2"/>
      <c r="E80" s="2"/>
      <c r="F80" s="2"/>
    </row>
    <row r="81" customFormat="false" ht="15.75" hidden="false" customHeight="true" outlineLevel="0" collapsed="false">
      <c r="A81" s="2"/>
      <c r="E81" s="2"/>
      <c r="F81" s="2"/>
    </row>
    <row r="82" customFormat="false" ht="15.75" hidden="false" customHeight="true" outlineLevel="0" collapsed="false">
      <c r="A82" s="2"/>
      <c r="E82" s="2"/>
      <c r="F82" s="2"/>
    </row>
    <row r="83" customFormat="false" ht="15.75" hidden="false" customHeight="true" outlineLevel="0" collapsed="false">
      <c r="A83" s="2"/>
      <c r="E83" s="2"/>
      <c r="F83" s="2"/>
    </row>
    <row r="84" customFormat="false" ht="15.75" hidden="false" customHeight="true" outlineLevel="0" collapsed="false">
      <c r="A84" s="2"/>
      <c r="E84" s="2"/>
      <c r="F84" s="2"/>
    </row>
    <row r="85" customFormat="false" ht="15.75" hidden="false" customHeight="true" outlineLevel="0" collapsed="false">
      <c r="A85" s="2"/>
      <c r="E85" s="2"/>
      <c r="F85" s="2"/>
    </row>
    <row r="86" customFormat="false" ht="15.75" hidden="false" customHeight="true" outlineLevel="0" collapsed="false">
      <c r="A86" s="2"/>
      <c r="E86" s="2"/>
      <c r="F86" s="2"/>
    </row>
    <row r="87" customFormat="false" ht="15.75" hidden="false" customHeight="true" outlineLevel="0" collapsed="false">
      <c r="A87" s="2"/>
      <c r="E87" s="2"/>
      <c r="F87" s="2"/>
    </row>
    <row r="88" customFormat="false" ht="15.75" hidden="false" customHeight="true" outlineLevel="0" collapsed="false">
      <c r="A88" s="2"/>
      <c r="E88" s="2"/>
      <c r="F88" s="2"/>
    </row>
    <row r="89" customFormat="false" ht="15.75" hidden="false" customHeight="true" outlineLevel="0" collapsed="false">
      <c r="A89" s="2"/>
      <c r="E89" s="2"/>
      <c r="F89" s="2"/>
    </row>
    <row r="90" customFormat="false" ht="15.75" hidden="false" customHeight="true" outlineLevel="0" collapsed="false">
      <c r="A90" s="2"/>
      <c r="E90" s="2"/>
      <c r="F90" s="2"/>
    </row>
    <row r="91" customFormat="false" ht="15.75" hidden="false" customHeight="true" outlineLevel="0" collapsed="false">
      <c r="A91" s="2"/>
      <c r="E91" s="2"/>
      <c r="F91" s="2"/>
    </row>
    <row r="92" customFormat="false" ht="15.75" hidden="false" customHeight="true" outlineLevel="0" collapsed="false">
      <c r="A92" s="2"/>
      <c r="E92" s="2"/>
      <c r="F92" s="2"/>
    </row>
    <row r="93" customFormat="false" ht="15.75" hidden="false" customHeight="true" outlineLevel="0" collapsed="false">
      <c r="A93" s="2"/>
      <c r="E93" s="2"/>
      <c r="F93" s="2"/>
    </row>
    <row r="94" customFormat="false" ht="15.75" hidden="false" customHeight="true" outlineLevel="0" collapsed="false">
      <c r="A94" s="2"/>
      <c r="E94" s="2"/>
      <c r="F94" s="2"/>
    </row>
    <row r="95" customFormat="false" ht="15.75" hidden="false" customHeight="true" outlineLevel="0" collapsed="false">
      <c r="A95" s="2"/>
      <c r="E95" s="2"/>
      <c r="F95" s="2"/>
    </row>
    <row r="96" customFormat="false" ht="15.75" hidden="false" customHeight="true" outlineLevel="0" collapsed="false">
      <c r="A96" s="2"/>
      <c r="E96" s="2"/>
      <c r="F96" s="2"/>
    </row>
    <row r="97" customFormat="false" ht="15.75" hidden="false" customHeight="true" outlineLevel="0" collapsed="false">
      <c r="A97" s="2"/>
      <c r="E97" s="2"/>
      <c r="F97" s="2"/>
    </row>
    <row r="98" customFormat="false" ht="15.75" hidden="false" customHeight="true" outlineLevel="0" collapsed="false">
      <c r="A98" s="2"/>
      <c r="E98" s="2"/>
      <c r="F98" s="2"/>
    </row>
    <row r="99" customFormat="false" ht="15.75" hidden="false" customHeight="true" outlineLevel="0" collapsed="false">
      <c r="A99" s="2"/>
      <c r="E99" s="2"/>
      <c r="F99" s="2"/>
    </row>
    <row r="100" customFormat="false" ht="15.75" hidden="false" customHeight="true" outlineLevel="0" collapsed="false">
      <c r="A100" s="2"/>
      <c r="E100" s="2"/>
      <c r="F100" s="2"/>
    </row>
    <row r="101" customFormat="false" ht="15.75" hidden="false" customHeight="true" outlineLevel="0" collapsed="false">
      <c r="A101" s="2"/>
      <c r="E101" s="2"/>
      <c r="F101" s="2"/>
    </row>
    <row r="102" customFormat="false" ht="15.75" hidden="false" customHeight="true" outlineLevel="0" collapsed="false">
      <c r="A102" s="2"/>
      <c r="E102" s="2"/>
      <c r="F102" s="2"/>
    </row>
    <row r="103" customFormat="false" ht="15.75" hidden="false" customHeight="true" outlineLevel="0" collapsed="false">
      <c r="A103" s="2"/>
      <c r="E103" s="2"/>
      <c r="F103" s="2"/>
    </row>
    <row r="104" customFormat="false" ht="15.75" hidden="false" customHeight="true" outlineLevel="0" collapsed="false">
      <c r="A104" s="2"/>
      <c r="E104" s="2"/>
      <c r="F104" s="2"/>
    </row>
    <row r="105" customFormat="false" ht="15.75" hidden="false" customHeight="true" outlineLevel="0" collapsed="false">
      <c r="A105" s="2"/>
      <c r="E105" s="2"/>
      <c r="F105" s="2"/>
    </row>
    <row r="106" customFormat="false" ht="15.75" hidden="false" customHeight="true" outlineLevel="0" collapsed="false">
      <c r="A106" s="2"/>
      <c r="E106" s="2"/>
      <c r="F106" s="2"/>
    </row>
    <row r="107" customFormat="false" ht="15.75" hidden="false" customHeight="true" outlineLevel="0" collapsed="false">
      <c r="A107" s="2"/>
      <c r="E107" s="2"/>
      <c r="F107" s="2"/>
    </row>
    <row r="108" customFormat="false" ht="15.75" hidden="false" customHeight="true" outlineLevel="0" collapsed="false">
      <c r="A108" s="2"/>
      <c r="E108" s="2"/>
      <c r="F108" s="2"/>
    </row>
    <row r="109" customFormat="false" ht="15.75" hidden="false" customHeight="true" outlineLevel="0" collapsed="false">
      <c r="A109" s="2"/>
      <c r="E109" s="2"/>
      <c r="F109" s="2"/>
    </row>
    <row r="110" customFormat="false" ht="15.75" hidden="false" customHeight="true" outlineLevel="0" collapsed="false">
      <c r="A110" s="2"/>
      <c r="E110" s="2"/>
      <c r="F110" s="2"/>
    </row>
    <row r="111" customFormat="false" ht="15.75" hidden="false" customHeight="true" outlineLevel="0" collapsed="false">
      <c r="A111" s="2"/>
      <c r="E111" s="2"/>
      <c r="F111" s="2"/>
    </row>
    <row r="112" customFormat="false" ht="15.75" hidden="false" customHeight="true" outlineLevel="0" collapsed="false">
      <c r="A112" s="2"/>
      <c r="E112" s="2"/>
      <c r="F112" s="2"/>
    </row>
    <row r="113" customFormat="false" ht="15.75" hidden="false" customHeight="true" outlineLevel="0" collapsed="false">
      <c r="A113" s="2"/>
      <c r="E113" s="2"/>
      <c r="F113" s="2"/>
    </row>
    <row r="114" customFormat="false" ht="15.75" hidden="false" customHeight="true" outlineLevel="0" collapsed="false">
      <c r="A114" s="2"/>
      <c r="E114" s="2"/>
      <c r="F114" s="2"/>
    </row>
    <row r="115" customFormat="false" ht="15.75" hidden="false" customHeight="true" outlineLevel="0" collapsed="false">
      <c r="A115" s="2"/>
      <c r="E115" s="2"/>
      <c r="F115" s="2"/>
    </row>
    <row r="116" customFormat="false" ht="15.75" hidden="false" customHeight="true" outlineLevel="0" collapsed="false">
      <c r="A116" s="2"/>
      <c r="E116" s="2"/>
      <c r="F116" s="2"/>
    </row>
    <row r="117" customFormat="false" ht="15.75" hidden="false" customHeight="true" outlineLevel="0" collapsed="false">
      <c r="A117" s="2"/>
      <c r="E117" s="2"/>
      <c r="F117" s="2"/>
    </row>
    <row r="118" customFormat="false" ht="15.75" hidden="false" customHeight="true" outlineLevel="0" collapsed="false">
      <c r="A118" s="2"/>
      <c r="E118" s="2"/>
      <c r="F118" s="2"/>
    </row>
    <row r="119" customFormat="false" ht="15.75" hidden="false" customHeight="true" outlineLevel="0" collapsed="false">
      <c r="A119" s="2"/>
      <c r="E119" s="2"/>
      <c r="F119" s="2"/>
    </row>
    <row r="120" customFormat="false" ht="15.75" hidden="false" customHeight="true" outlineLevel="0" collapsed="false">
      <c r="A120" s="2"/>
      <c r="E120" s="2"/>
      <c r="F120" s="2"/>
    </row>
    <row r="121" customFormat="false" ht="15.75" hidden="false" customHeight="true" outlineLevel="0" collapsed="false">
      <c r="A121" s="2"/>
      <c r="E121" s="2"/>
      <c r="F121" s="2"/>
    </row>
    <row r="122" customFormat="false" ht="15.75" hidden="false" customHeight="true" outlineLevel="0" collapsed="false">
      <c r="A122" s="2"/>
      <c r="E122" s="2"/>
      <c r="F122" s="2"/>
    </row>
    <row r="123" customFormat="false" ht="15.75" hidden="false" customHeight="true" outlineLevel="0" collapsed="false">
      <c r="A123" s="2"/>
      <c r="E123" s="2"/>
      <c r="F123" s="2"/>
    </row>
    <row r="124" customFormat="false" ht="15.75" hidden="false" customHeight="true" outlineLevel="0" collapsed="false">
      <c r="A124" s="2"/>
      <c r="E124" s="2"/>
      <c r="F124" s="2"/>
    </row>
    <row r="125" customFormat="false" ht="15.75" hidden="false" customHeight="true" outlineLevel="0" collapsed="false">
      <c r="A125" s="2"/>
      <c r="E125" s="2"/>
      <c r="F125" s="2"/>
    </row>
    <row r="126" customFormat="false" ht="15.75" hidden="false" customHeight="true" outlineLevel="0" collapsed="false">
      <c r="A126" s="2"/>
      <c r="E126" s="2"/>
      <c r="F126" s="2"/>
    </row>
    <row r="127" customFormat="false" ht="15.75" hidden="false" customHeight="true" outlineLevel="0" collapsed="false">
      <c r="A127" s="2"/>
      <c r="E127" s="2"/>
      <c r="F127" s="2"/>
    </row>
    <row r="128" customFormat="false" ht="15.75" hidden="false" customHeight="true" outlineLevel="0" collapsed="false">
      <c r="A128" s="2"/>
      <c r="E128" s="2"/>
      <c r="F128" s="2"/>
    </row>
    <row r="129" customFormat="false" ht="15.75" hidden="false" customHeight="true" outlineLevel="0" collapsed="false">
      <c r="A129" s="2"/>
      <c r="E129" s="2"/>
      <c r="F129" s="2"/>
    </row>
    <row r="130" customFormat="false" ht="15.75" hidden="false" customHeight="true" outlineLevel="0" collapsed="false">
      <c r="A130" s="2"/>
      <c r="E130" s="2"/>
      <c r="F130" s="2"/>
    </row>
    <row r="131" customFormat="false" ht="15.75" hidden="false" customHeight="true" outlineLevel="0" collapsed="false">
      <c r="A131" s="2"/>
      <c r="E131" s="2"/>
      <c r="F131" s="2"/>
    </row>
    <row r="132" customFormat="false" ht="15.75" hidden="false" customHeight="true" outlineLevel="0" collapsed="false">
      <c r="A132" s="2"/>
      <c r="E132" s="2"/>
      <c r="F132" s="2"/>
    </row>
    <row r="133" customFormat="false" ht="15.75" hidden="false" customHeight="true" outlineLevel="0" collapsed="false">
      <c r="A133" s="2"/>
      <c r="E133" s="2"/>
      <c r="F133" s="2"/>
    </row>
    <row r="134" customFormat="false" ht="15.75" hidden="false" customHeight="true" outlineLevel="0" collapsed="false">
      <c r="A134" s="2"/>
      <c r="E134" s="2"/>
      <c r="F134" s="2"/>
    </row>
    <row r="135" customFormat="false" ht="15.75" hidden="false" customHeight="true" outlineLevel="0" collapsed="false">
      <c r="A135" s="2"/>
      <c r="E135" s="2"/>
      <c r="F135" s="2"/>
    </row>
    <row r="136" customFormat="false" ht="15.75" hidden="false" customHeight="true" outlineLevel="0" collapsed="false">
      <c r="A136" s="2"/>
      <c r="E136" s="2"/>
      <c r="F136" s="2"/>
    </row>
    <row r="137" customFormat="false" ht="15.75" hidden="false" customHeight="true" outlineLevel="0" collapsed="false">
      <c r="A137" s="2"/>
      <c r="E137" s="2"/>
      <c r="F137" s="2"/>
    </row>
    <row r="138" customFormat="false" ht="15.75" hidden="false" customHeight="true" outlineLevel="0" collapsed="false">
      <c r="A138" s="2"/>
      <c r="E138" s="2"/>
      <c r="F138" s="2"/>
    </row>
    <row r="139" customFormat="false" ht="15.75" hidden="false" customHeight="true" outlineLevel="0" collapsed="false">
      <c r="A139" s="2"/>
      <c r="E139" s="2"/>
      <c r="F139" s="2"/>
    </row>
    <row r="140" customFormat="false" ht="15.75" hidden="false" customHeight="true" outlineLevel="0" collapsed="false">
      <c r="A140" s="2"/>
      <c r="E140" s="2"/>
      <c r="F140" s="2"/>
    </row>
    <row r="141" customFormat="false" ht="15.75" hidden="false" customHeight="true" outlineLevel="0" collapsed="false">
      <c r="A141" s="2"/>
      <c r="E141" s="2"/>
      <c r="F141" s="2"/>
    </row>
    <row r="142" customFormat="false" ht="15.75" hidden="false" customHeight="true" outlineLevel="0" collapsed="false">
      <c r="A142" s="2"/>
      <c r="E142" s="2"/>
      <c r="F142" s="2"/>
    </row>
    <row r="143" customFormat="false" ht="15.75" hidden="false" customHeight="true" outlineLevel="0" collapsed="false">
      <c r="A143" s="2"/>
      <c r="E143" s="2"/>
      <c r="F143" s="2"/>
    </row>
    <row r="144" customFormat="false" ht="15.75" hidden="false" customHeight="true" outlineLevel="0" collapsed="false">
      <c r="A144" s="2"/>
      <c r="E144" s="2"/>
      <c r="F144" s="2"/>
    </row>
    <row r="145" customFormat="false" ht="15.75" hidden="false" customHeight="true" outlineLevel="0" collapsed="false">
      <c r="A145" s="2"/>
      <c r="E145" s="2"/>
      <c r="F145" s="2"/>
    </row>
    <row r="146" customFormat="false" ht="15.75" hidden="false" customHeight="true" outlineLevel="0" collapsed="false">
      <c r="A146" s="2"/>
      <c r="E146" s="2"/>
      <c r="F146" s="2"/>
    </row>
    <row r="147" customFormat="false" ht="15.75" hidden="false" customHeight="true" outlineLevel="0" collapsed="false">
      <c r="A147" s="2"/>
      <c r="E147" s="2"/>
      <c r="F147" s="2"/>
    </row>
    <row r="148" customFormat="false" ht="15.75" hidden="false" customHeight="true" outlineLevel="0" collapsed="false">
      <c r="A148" s="2"/>
      <c r="E148" s="2"/>
      <c r="F148" s="2"/>
    </row>
    <row r="149" customFormat="false" ht="15.75" hidden="false" customHeight="true" outlineLevel="0" collapsed="false">
      <c r="A149" s="2"/>
      <c r="E149" s="2"/>
      <c r="F149" s="2"/>
    </row>
    <row r="150" customFormat="false" ht="15.75" hidden="false" customHeight="true" outlineLevel="0" collapsed="false">
      <c r="A150" s="2"/>
      <c r="E150" s="2"/>
      <c r="F150" s="2"/>
    </row>
    <row r="151" customFormat="false" ht="15.75" hidden="false" customHeight="true" outlineLevel="0" collapsed="false">
      <c r="A151" s="2"/>
      <c r="E151" s="2"/>
      <c r="F151" s="2"/>
    </row>
    <row r="152" customFormat="false" ht="15.75" hidden="false" customHeight="true" outlineLevel="0" collapsed="false">
      <c r="A152" s="2"/>
      <c r="E152" s="2"/>
      <c r="F152" s="2"/>
    </row>
    <row r="153" customFormat="false" ht="15.75" hidden="false" customHeight="true" outlineLevel="0" collapsed="false">
      <c r="A153" s="2"/>
      <c r="E153" s="2"/>
      <c r="F153" s="2"/>
    </row>
    <row r="154" customFormat="false" ht="15.75" hidden="false" customHeight="true" outlineLevel="0" collapsed="false">
      <c r="A154" s="2"/>
      <c r="E154" s="2"/>
      <c r="F154" s="2"/>
    </row>
    <row r="155" customFormat="false" ht="15.75" hidden="false" customHeight="true" outlineLevel="0" collapsed="false">
      <c r="A155" s="2"/>
      <c r="E155" s="2"/>
      <c r="F155" s="2"/>
    </row>
    <row r="156" customFormat="false" ht="15.75" hidden="false" customHeight="true" outlineLevel="0" collapsed="false">
      <c r="A156" s="2"/>
      <c r="E156" s="2"/>
      <c r="F156" s="2"/>
    </row>
    <row r="157" customFormat="false" ht="15.75" hidden="false" customHeight="true" outlineLevel="0" collapsed="false">
      <c r="A157" s="2"/>
      <c r="E157" s="2"/>
      <c r="F157" s="2"/>
    </row>
    <row r="158" customFormat="false" ht="15.75" hidden="false" customHeight="true" outlineLevel="0" collapsed="false">
      <c r="A158" s="2"/>
      <c r="E158" s="2"/>
      <c r="F158" s="2"/>
    </row>
    <row r="159" customFormat="false" ht="15.75" hidden="false" customHeight="true" outlineLevel="0" collapsed="false">
      <c r="A159" s="2"/>
      <c r="E159" s="2"/>
      <c r="F159" s="2"/>
    </row>
    <row r="160" customFormat="false" ht="15.75" hidden="false" customHeight="true" outlineLevel="0" collapsed="false">
      <c r="A160" s="2"/>
      <c r="E160" s="2"/>
      <c r="F160" s="2"/>
    </row>
    <row r="161" customFormat="false" ht="15.75" hidden="false" customHeight="true" outlineLevel="0" collapsed="false">
      <c r="A161" s="2"/>
      <c r="E161" s="2"/>
      <c r="F161" s="2"/>
    </row>
    <row r="162" customFormat="false" ht="15.75" hidden="false" customHeight="true" outlineLevel="0" collapsed="false">
      <c r="A162" s="2"/>
      <c r="E162" s="2"/>
      <c r="F162" s="2"/>
    </row>
    <row r="163" customFormat="false" ht="15.75" hidden="false" customHeight="true" outlineLevel="0" collapsed="false">
      <c r="A163" s="2"/>
      <c r="E163" s="2"/>
      <c r="F163" s="2"/>
    </row>
    <row r="164" customFormat="false" ht="15.75" hidden="false" customHeight="true" outlineLevel="0" collapsed="false">
      <c r="A164" s="2"/>
      <c r="E164" s="2"/>
      <c r="F164" s="2"/>
    </row>
    <row r="165" customFormat="false" ht="15.75" hidden="false" customHeight="true" outlineLevel="0" collapsed="false">
      <c r="A165" s="2"/>
      <c r="E165" s="2"/>
      <c r="F165" s="2"/>
    </row>
    <row r="166" customFormat="false" ht="15.75" hidden="false" customHeight="true" outlineLevel="0" collapsed="false">
      <c r="A166" s="2"/>
      <c r="E166" s="2"/>
      <c r="F166" s="2"/>
    </row>
    <row r="167" customFormat="false" ht="15.75" hidden="false" customHeight="true" outlineLevel="0" collapsed="false">
      <c r="A167" s="2"/>
      <c r="E167" s="2"/>
      <c r="F167" s="2"/>
    </row>
    <row r="168" customFormat="false" ht="15.75" hidden="false" customHeight="true" outlineLevel="0" collapsed="false">
      <c r="A168" s="2"/>
      <c r="E168" s="2"/>
      <c r="F168" s="2"/>
    </row>
    <row r="169" customFormat="false" ht="15.75" hidden="false" customHeight="true" outlineLevel="0" collapsed="false">
      <c r="A169" s="2"/>
      <c r="E169" s="2"/>
      <c r="F169" s="2"/>
    </row>
    <row r="170" customFormat="false" ht="15.75" hidden="false" customHeight="true" outlineLevel="0" collapsed="false">
      <c r="A170" s="2"/>
      <c r="E170" s="2"/>
      <c r="F170" s="2"/>
    </row>
    <row r="171" customFormat="false" ht="15.75" hidden="false" customHeight="true" outlineLevel="0" collapsed="false">
      <c r="A171" s="2"/>
      <c r="E171" s="2"/>
      <c r="F171" s="2"/>
    </row>
    <row r="172" customFormat="false" ht="15.75" hidden="false" customHeight="true" outlineLevel="0" collapsed="false">
      <c r="A172" s="2"/>
      <c r="E172" s="2"/>
      <c r="F172" s="2"/>
    </row>
    <row r="173" customFormat="false" ht="15.75" hidden="false" customHeight="true" outlineLevel="0" collapsed="false">
      <c r="A173" s="2"/>
      <c r="E173" s="2"/>
      <c r="F173" s="2"/>
    </row>
    <row r="174" customFormat="false" ht="15.75" hidden="false" customHeight="true" outlineLevel="0" collapsed="false">
      <c r="A174" s="2"/>
      <c r="E174" s="2"/>
      <c r="F174" s="2"/>
    </row>
    <row r="175" customFormat="false" ht="15.75" hidden="false" customHeight="true" outlineLevel="0" collapsed="false">
      <c r="A175" s="2"/>
      <c r="E175" s="2"/>
      <c r="F175" s="2"/>
    </row>
    <row r="176" customFormat="false" ht="15.75" hidden="false" customHeight="true" outlineLevel="0" collapsed="false">
      <c r="A176" s="2"/>
      <c r="E176" s="2"/>
      <c r="F176" s="2"/>
    </row>
    <row r="177" customFormat="false" ht="15.75" hidden="false" customHeight="true" outlineLevel="0" collapsed="false">
      <c r="A177" s="2"/>
      <c r="E177" s="2"/>
      <c r="F177" s="2"/>
    </row>
    <row r="178" customFormat="false" ht="15.75" hidden="false" customHeight="true" outlineLevel="0" collapsed="false">
      <c r="A178" s="2"/>
      <c r="E178" s="2"/>
      <c r="F178" s="2"/>
    </row>
    <row r="179" customFormat="false" ht="15.75" hidden="false" customHeight="true" outlineLevel="0" collapsed="false">
      <c r="A179" s="2"/>
      <c r="E179" s="2"/>
      <c r="F179" s="2"/>
    </row>
    <row r="180" customFormat="false" ht="15.75" hidden="false" customHeight="true" outlineLevel="0" collapsed="false">
      <c r="A180" s="2"/>
      <c r="E180" s="2"/>
      <c r="F180" s="2"/>
    </row>
    <row r="181" customFormat="false" ht="15.75" hidden="false" customHeight="true" outlineLevel="0" collapsed="false">
      <c r="A181" s="2"/>
      <c r="E181" s="2"/>
      <c r="F181" s="2"/>
    </row>
    <row r="182" customFormat="false" ht="15.75" hidden="false" customHeight="true" outlineLevel="0" collapsed="false">
      <c r="A182" s="2"/>
      <c r="E182" s="2"/>
      <c r="F182" s="2"/>
    </row>
    <row r="183" customFormat="false" ht="15.75" hidden="false" customHeight="true" outlineLevel="0" collapsed="false">
      <c r="A183" s="2"/>
      <c r="E183" s="2"/>
      <c r="F183" s="2"/>
    </row>
    <row r="184" customFormat="false" ht="15.75" hidden="false" customHeight="true" outlineLevel="0" collapsed="false">
      <c r="A184" s="2"/>
      <c r="E184" s="2"/>
      <c r="F184" s="2"/>
    </row>
    <row r="185" customFormat="false" ht="15.75" hidden="false" customHeight="true" outlineLevel="0" collapsed="false">
      <c r="A185" s="2"/>
      <c r="E185" s="2"/>
      <c r="F185" s="2"/>
    </row>
    <row r="186" customFormat="false" ht="15.75" hidden="false" customHeight="true" outlineLevel="0" collapsed="false">
      <c r="A186" s="2"/>
      <c r="E186" s="2"/>
      <c r="F186" s="2"/>
    </row>
    <row r="187" customFormat="false" ht="15.75" hidden="false" customHeight="true" outlineLevel="0" collapsed="false">
      <c r="A187" s="2"/>
      <c r="E187" s="2"/>
      <c r="F187" s="2"/>
    </row>
    <row r="188" customFormat="false" ht="15.75" hidden="false" customHeight="true" outlineLevel="0" collapsed="false">
      <c r="A188" s="2"/>
      <c r="E188" s="2"/>
      <c r="F188" s="2"/>
    </row>
    <row r="189" customFormat="false" ht="15.75" hidden="false" customHeight="true" outlineLevel="0" collapsed="false">
      <c r="A189" s="2"/>
      <c r="E189" s="2"/>
      <c r="F189" s="2"/>
    </row>
    <row r="190" customFormat="false" ht="15.75" hidden="false" customHeight="true" outlineLevel="0" collapsed="false">
      <c r="A190" s="2"/>
      <c r="E190" s="2"/>
      <c r="F190" s="2"/>
    </row>
    <row r="191" customFormat="false" ht="15.75" hidden="false" customHeight="true" outlineLevel="0" collapsed="false">
      <c r="A191" s="2"/>
      <c r="E191" s="2"/>
      <c r="F191" s="2"/>
    </row>
    <row r="192" customFormat="false" ht="15.75" hidden="false" customHeight="true" outlineLevel="0" collapsed="false">
      <c r="A192" s="2"/>
      <c r="E192" s="2"/>
      <c r="F192" s="2"/>
    </row>
    <row r="193" customFormat="false" ht="15.75" hidden="false" customHeight="true" outlineLevel="0" collapsed="false">
      <c r="A193" s="2"/>
      <c r="E193" s="2"/>
      <c r="F193" s="2"/>
    </row>
    <row r="194" customFormat="false" ht="15.75" hidden="false" customHeight="true" outlineLevel="0" collapsed="false">
      <c r="A194" s="2"/>
      <c r="E194" s="2"/>
      <c r="F194" s="2"/>
    </row>
    <row r="195" customFormat="false" ht="15.75" hidden="false" customHeight="true" outlineLevel="0" collapsed="false">
      <c r="A195" s="2"/>
      <c r="E195" s="2"/>
      <c r="F195" s="2"/>
    </row>
    <row r="196" customFormat="false" ht="15.75" hidden="false" customHeight="true" outlineLevel="0" collapsed="false">
      <c r="A196" s="2"/>
      <c r="E196" s="2"/>
      <c r="F196" s="2"/>
    </row>
    <row r="197" customFormat="false" ht="15.75" hidden="false" customHeight="true" outlineLevel="0" collapsed="false">
      <c r="A197" s="2"/>
      <c r="E197" s="2"/>
      <c r="F197" s="2"/>
    </row>
    <row r="198" customFormat="false" ht="15.75" hidden="false" customHeight="true" outlineLevel="0" collapsed="false">
      <c r="A198" s="2"/>
      <c r="E198" s="2"/>
      <c r="F198" s="2"/>
    </row>
    <row r="199" customFormat="false" ht="15.75" hidden="false" customHeight="true" outlineLevel="0" collapsed="false">
      <c r="A199" s="2"/>
      <c r="E199" s="2"/>
      <c r="F199" s="2"/>
    </row>
    <row r="200" customFormat="false" ht="15.75" hidden="false" customHeight="true" outlineLevel="0" collapsed="false">
      <c r="A200" s="2"/>
      <c r="E200" s="2"/>
      <c r="F200" s="2"/>
    </row>
    <row r="201" customFormat="false" ht="15.75" hidden="false" customHeight="true" outlineLevel="0" collapsed="false">
      <c r="A201" s="2"/>
      <c r="E201" s="2"/>
      <c r="F201" s="2"/>
    </row>
    <row r="202" customFormat="false" ht="15.75" hidden="false" customHeight="true" outlineLevel="0" collapsed="false">
      <c r="A202" s="2"/>
      <c r="E202" s="2"/>
      <c r="F202" s="2"/>
    </row>
    <row r="203" customFormat="false" ht="15.75" hidden="false" customHeight="true" outlineLevel="0" collapsed="false">
      <c r="A203" s="2"/>
      <c r="E203" s="2"/>
      <c r="F203" s="2"/>
    </row>
    <row r="204" customFormat="false" ht="15.75" hidden="false" customHeight="true" outlineLevel="0" collapsed="false">
      <c r="A204" s="2"/>
      <c r="E204" s="2"/>
      <c r="F204" s="2"/>
    </row>
    <row r="205" customFormat="false" ht="15.75" hidden="false" customHeight="true" outlineLevel="0" collapsed="false">
      <c r="A205" s="2"/>
      <c r="E205" s="2"/>
      <c r="F205" s="2"/>
    </row>
    <row r="206" customFormat="false" ht="15.75" hidden="false" customHeight="true" outlineLevel="0" collapsed="false">
      <c r="A206" s="2"/>
      <c r="E206" s="2"/>
      <c r="F206" s="2"/>
    </row>
    <row r="207" customFormat="false" ht="15.75" hidden="false" customHeight="true" outlineLevel="0" collapsed="false">
      <c r="A207" s="2"/>
      <c r="E207" s="2"/>
      <c r="F207" s="2"/>
    </row>
    <row r="208" customFormat="false" ht="15.75" hidden="false" customHeight="true" outlineLevel="0" collapsed="false">
      <c r="A208" s="2"/>
      <c r="E208" s="2"/>
      <c r="F208" s="2"/>
    </row>
    <row r="209" customFormat="false" ht="15.75" hidden="false" customHeight="true" outlineLevel="0" collapsed="false">
      <c r="A209" s="2"/>
      <c r="E209" s="2"/>
      <c r="F209" s="2"/>
    </row>
    <row r="210" customFormat="false" ht="15.75" hidden="false" customHeight="true" outlineLevel="0" collapsed="false">
      <c r="A210" s="2"/>
      <c r="E210" s="2"/>
      <c r="F210" s="2"/>
    </row>
    <row r="211" customFormat="false" ht="15.75" hidden="false" customHeight="true" outlineLevel="0" collapsed="false">
      <c r="A211" s="2"/>
      <c r="E211" s="2"/>
      <c r="F211" s="2"/>
    </row>
    <row r="212" customFormat="false" ht="15.75" hidden="false" customHeight="true" outlineLevel="0" collapsed="false">
      <c r="A212" s="2"/>
      <c r="E212" s="2"/>
      <c r="F212" s="2"/>
    </row>
    <row r="213" customFormat="false" ht="15.75" hidden="false" customHeight="true" outlineLevel="0" collapsed="false">
      <c r="A213" s="2"/>
      <c r="E213" s="2"/>
      <c r="F213" s="2"/>
    </row>
    <row r="214" customFormat="false" ht="15.75" hidden="false" customHeight="true" outlineLevel="0" collapsed="false">
      <c r="A214" s="2"/>
      <c r="E214" s="2"/>
      <c r="F214" s="2"/>
    </row>
    <row r="215" customFormat="false" ht="15.75" hidden="false" customHeight="true" outlineLevel="0" collapsed="false">
      <c r="A215" s="2"/>
      <c r="E215" s="2"/>
      <c r="F215" s="2"/>
    </row>
    <row r="216" customFormat="false" ht="15.75" hidden="false" customHeight="true" outlineLevel="0" collapsed="false">
      <c r="A216" s="2"/>
      <c r="E216" s="2"/>
      <c r="F216" s="2"/>
    </row>
    <row r="217" customFormat="false" ht="15.75" hidden="false" customHeight="true" outlineLevel="0" collapsed="false">
      <c r="A217" s="2"/>
      <c r="E217" s="2"/>
      <c r="F217" s="2"/>
    </row>
    <row r="218" customFormat="false" ht="15.75" hidden="false" customHeight="true" outlineLevel="0" collapsed="false">
      <c r="A218" s="2"/>
      <c r="E218" s="2"/>
      <c r="F218" s="2"/>
    </row>
    <row r="219" customFormat="false" ht="15.75" hidden="false" customHeight="true" outlineLevel="0" collapsed="false">
      <c r="A219" s="2"/>
      <c r="E219" s="2"/>
      <c r="F219" s="2"/>
    </row>
    <row r="220" customFormat="false" ht="15.75" hidden="false" customHeight="true" outlineLevel="0" collapsed="false">
      <c r="A220" s="2"/>
      <c r="E220" s="2"/>
      <c r="F220" s="2"/>
    </row>
    <row r="221" customFormat="false" ht="15.75" hidden="false" customHeight="true" outlineLevel="0" collapsed="false">
      <c r="A221" s="2"/>
      <c r="E221" s="2"/>
      <c r="F221" s="2"/>
    </row>
    <row r="222" customFormat="false" ht="15.75" hidden="false" customHeight="true" outlineLevel="0" collapsed="false">
      <c r="A222" s="2"/>
      <c r="E222" s="2"/>
      <c r="F222" s="2"/>
    </row>
    <row r="223" customFormat="false" ht="15.75" hidden="false" customHeight="true" outlineLevel="0" collapsed="false">
      <c r="A223" s="2"/>
      <c r="E223" s="2"/>
      <c r="F223" s="2"/>
    </row>
    <row r="224" customFormat="false" ht="15.75" hidden="false" customHeight="true" outlineLevel="0" collapsed="false">
      <c r="A224" s="2"/>
      <c r="E224" s="2"/>
      <c r="F224" s="2"/>
    </row>
    <row r="225" customFormat="false" ht="15.75" hidden="false" customHeight="true" outlineLevel="0" collapsed="false">
      <c r="A225" s="2"/>
      <c r="E225" s="2"/>
      <c r="F225" s="2"/>
    </row>
    <row r="226" customFormat="false" ht="15.75" hidden="false" customHeight="true" outlineLevel="0" collapsed="false">
      <c r="A226" s="2"/>
      <c r="E226" s="2"/>
      <c r="F226" s="2"/>
    </row>
    <row r="227" customFormat="false" ht="15.75" hidden="false" customHeight="true" outlineLevel="0" collapsed="false">
      <c r="A227" s="2"/>
      <c r="E227" s="2"/>
      <c r="F227" s="2"/>
    </row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2026-09-12T15:18:50Z</dcterms:created>
  <dc:creator>openpyxl</dc:creator>
  <dc:description/>
  <dc:language>en-US</dc:language>
  <cp:lastModifiedBy/>
  <dcterms:modified xsi:type="dcterms:W3CDTF">2026-09-12T15:18:51Z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