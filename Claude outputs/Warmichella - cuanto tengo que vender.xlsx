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rmiche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<sst xmlns="http://schemas.openxmlformats.org/spreadsheetml/2006/main" count="32" uniqueCount="32">
  <si>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Warmichella Navidad — 12 y 13 de diciembre</t>
  </si>
  <si>
    <t xml:space="preserve">Stand MESA · Parque Náutico de San Fernando · 12 a 20 hs</t>
  </si>
  <si>
    <t xml:space="preserve">LO QUE HAY QUE CUBRIR</t>
  </si>
  <si>
    <t xml:space="preserve">Stand mesa, IVA incluido</t>
  </si>
  <si>
    <t xml:space="preserve">por los dos días</t>
  </si>
  <si>
    <t xml:space="preserve">TUS NÚMEROS POR PIEZA</t>
  </si>
  <si>
    <t xml:space="preserve">Precio de venta promedio</t>
  </si>
  <si>
    <t xml:space="preserve">Costo promedio de la pieza</t>
  </si>
  <si>
    <t xml:space="preserve">lo que te sale a vos</t>
  </si>
  <si>
    <t xml:space="preserve">Packaging por pieza</t>
  </si>
  <si>
    <t xml:space="preserve">Te queda por pieza</t>
  </si>
  <si>
    <t xml:space="preserve">Eso es, del precio</t>
  </si>
  <si>
    <t xml:space="preserve">PUNTO DE EQUILIBRIO</t>
  </si>
  <si>
    <t xml:space="preserve">Piezas que tenés que vender</t>
  </si>
  <si>
    <t xml:space="preserve">Eso en plata (facturación)</t>
  </si>
  <si>
    <t xml:space="preserve">Por día (son 2 días)</t>
  </si>
  <si>
    <t xml:space="preserve">Por hora (8 hs por día)</t>
  </si>
  <si>
    <t xml:space="preserve">El stand se come, de cada venta</t>
  </si>
  <si>
    <t xml:space="preserve">a partir de ahí, todo lo que vendas es ganancia</t>
  </si>
  <si>
    <t xml:space="preserve">SI VENDÉS MÁS O MENOS</t>
  </si>
  <si>
    <t xml:space="preserve">Piezas vendidas</t>
  </si>
  <si>
    <t xml:space="preserve">Facturación</t>
  </si>
  <si>
    <t xml:space="preserve">Te queda</t>
  </si>
  <si>
    <t xml:space="preserve">Resultado</t>
  </si>
  <si>
    <t xml:space="preserve">El stand se lleva</t>
  </si>
  <si>
    <t xml:space="preserve">punto de equilibrio</t>
  </si>
  <si>
    <t xml:space="preserve">Cómo se usa</t>
  </si>
  <si>
    <t xml:space="preserve">• Completá solo las celdas amarillas. Todo lo demás se calcula solo.</t>
  </si>
  <si>
    <t xml:space="preserve">• El precio y el costo promedio salen de tu hoja Costos: promediá lo que pensás llevar a la feria.</t>
  </si>
  <si>
    <t xml:space="preserve">• "El stand se come, de cada venta" es la parte de cada precio que se va en pagar la mesa.</t>
  </si>
  <si>
    <t xml:space="preserve">• Cuanto más vendas, más chica es esa parte: es el mismo costo fijo repartido entre más piezas.</t>
  </si>
  <si>
    <t xml:space="preserve">Fuente del precio del stand: mensaje de la organización, MESA $600.000 IVA incluido por los dos días.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</si>
</sst>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%"/>
    <numFmt numFmtId="167" formatCode="#,##0"/>
    <numFmt numFmtId="168" formatCode="0.0"/>
    <numFmt numFmtId="169" formatCode="\$#,##0;[RED]&quot;($&quot;#,##0\)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F3F3F"/>
        <bgColor rgb="FF3333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7" min="3" style="0" width="16"/>
    <col collapsed="false" customWidth="true" hidden="false" outlineLevel="0" max="8" min="8" style="0" width="24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  <c r="D5" s="4"/>
    </row>
    <row r="6" customFormat="false" ht="15" hidden="false" customHeight="false" outlineLevel="0" collapsed="false">
      <c r="B6" s="5" t="s">
        <v>3</v>
      </c>
      <c r="C6" s="6" t="n">
        <v>600000</v>
      </c>
      <c r="D6" s="7" t="s">
        <v>4</v>
      </c>
    </row>
    <row r="8" customFormat="false" ht="15" hidden="false" customHeight="false" outlineLevel="0" collapsed="false">
      <c r="B8" s="3" t="s">
        <v>5</v>
      </c>
      <c r="C8" s="4"/>
      <c r="D8" s="4"/>
    </row>
    <row r="9" customFormat="false" ht="15" hidden="false" customHeight="false" outlineLevel="0" collapsed="false">
      <c r="B9" s="5" t="s">
        <v>6</v>
      </c>
      <c r="C9" s="8" t="n">
        <v>20000</v>
      </c>
    </row>
    <row r="10" customFormat="false" ht="15" hidden="false" customHeight="false" outlineLevel="0" collapsed="false">
      <c r="B10" s="5" t="s">
        <v>7</v>
      </c>
      <c r="C10" s="8" t="n">
        <v>10000</v>
      </c>
      <c r="D10" s="7" t="s">
        <v>8</v>
      </c>
    </row>
    <row r="11" customFormat="false" ht="15" hidden="false" customHeight="false" outlineLevel="0" collapsed="false">
      <c r="B11" s="5" t="s">
        <v>9</v>
      </c>
      <c r="C11" s="8" t="n">
        <v>1500</v>
      </c>
    </row>
    <row r="12" customFormat="false" ht="15" hidden="false" customHeight="false" outlineLevel="0" collapsed="false">
      <c r="B12" s="9" t="s">
        <v>10</v>
      </c>
      <c r="C12" s="10" t="n">
        <f aca="false">C9-C10-C11</f>
        <v>8500</v>
      </c>
    </row>
    <row r="13" customFormat="false" ht="15" hidden="false" customHeight="false" outlineLevel="0" collapsed="false">
      <c r="B13" s="5" t="s">
        <v>11</v>
      </c>
      <c r="C13" s="11" t="n">
        <f aca="false">IF(C9=0,"",C12/C9)</f>
        <v>0.425</v>
      </c>
    </row>
    <row r="15" customFormat="false" ht="15" hidden="false" customHeight="false" outlineLevel="0" collapsed="false">
      <c r="B15" s="3" t="s">
        <v>12</v>
      </c>
      <c r="C15" s="4"/>
      <c r="D15" s="4"/>
    </row>
    <row r="16" customFormat="false" ht="15" hidden="false" customHeight="false" outlineLevel="0" collapsed="false">
      <c r="B16" s="9" t="s">
        <v>13</v>
      </c>
      <c r="C16" s="12" t="n">
        <f aca="false">IF(C12&lt;=0,"",ROUNDUP(C6/C12,0))</f>
        <v>71</v>
      </c>
    </row>
    <row r="17" customFormat="false" ht="15" hidden="false" customHeight="false" outlineLevel="0" collapsed="false">
      <c r="B17" s="9" t="s">
        <v>14</v>
      </c>
      <c r="C17" s="13" t="n">
        <f aca="false">IF(C16="","",C16*C9)</f>
        <v>1420000</v>
      </c>
    </row>
    <row r="18" customFormat="false" ht="15" hidden="false" customHeight="false" outlineLevel="0" collapsed="false">
      <c r="B18" s="5" t="s">
        <v>15</v>
      </c>
      <c r="C18" s="14" t="n">
        <f aca="false">IF(C16="","",ROUNDUP(C16/2,0))</f>
        <v>36</v>
      </c>
    </row>
    <row r="19" customFormat="false" ht="15" hidden="false" customHeight="false" outlineLevel="0" collapsed="false">
      <c r="B19" s="5" t="s">
        <v>16</v>
      </c>
      <c r="C19" s="15" t="n">
        <f aca="false">IF(C16="","",ROUND(C16/16,1))</f>
        <v>4.4</v>
      </c>
    </row>
    <row r="20" customFormat="false" ht="15" hidden="false" customHeight="false" outlineLevel="0" collapsed="false">
      <c r="B20" s="5" t="s">
        <v>17</v>
      </c>
      <c r="C20" s="11" t="n">
        <f aca="false">IF(C16="","",C6/C16/C9)</f>
        <v>0.422535211267606</v>
      </c>
      <c r="D20" s="7" t="s">
        <v>18</v>
      </c>
    </row>
    <row r="22" customFormat="false" ht="15" hidden="false" customHeight="false" outlineLevel="0" collapsed="false">
      <c r="B22" s="3" t="s">
        <v>19</v>
      </c>
      <c r="C22" s="4"/>
      <c r="D22" s="4"/>
    </row>
    <row r="23" customFormat="false" ht="30" hidden="false" customHeight="true" outlineLevel="0" collapsed="false">
      <c r="B23" s="16" t="s">
        <v>20</v>
      </c>
      <c r="C23" s="16" t="s">
        <v>21</v>
      </c>
      <c r="D23" s="16" t="s">
        <v>22</v>
      </c>
      <c r="E23" s="16" t="s">
        <v>23</v>
      </c>
      <c r="F23" s="16" t="s">
        <v>24</v>
      </c>
    </row>
    <row r="24" customFormat="false" ht="15" hidden="false" customHeight="false" outlineLevel="0" collapsed="false">
      <c r="B24" s="17" t="n">
        <v>40</v>
      </c>
      <c r="C24" s="18" t="n">
        <f aca="false">B24*$C$9</f>
        <v>800000</v>
      </c>
      <c r="D24" s="18" t="n">
        <f aca="false">B24*$C$12</f>
        <v>340000</v>
      </c>
      <c r="E24" s="19" t="n">
        <f aca="false">D24-$C$6</f>
        <v>-260000</v>
      </c>
      <c r="F24" s="20" t="n">
        <f aca="false">$C$6/B24/$C$9</f>
        <v>0.75</v>
      </c>
    </row>
    <row r="25" customFormat="false" ht="15" hidden="false" customHeight="false" outlineLevel="0" collapsed="false">
      <c r="B25" s="17" t="n">
        <v>60</v>
      </c>
      <c r="C25" s="18" t="n">
        <f aca="false">B25*$C$9</f>
        <v>1200000</v>
      </c>
      <c r="D25" s="18" t="n">
        <f aca="false">B25*$C$12</f>
        <v>510000</v>
      </c>
      <c r="E25" s="19" t="n">
        <f aca="false">D25-$C$6</f>
        <v>-90000</v>
      </c>
      <c r="F25" s="20" t="n">
        <f aca="false">$C$6/B25/$C$9</f>
        <v>0.5</v>
      </c>
    </row>
    <row r="26" customFormat="false" ht="15" hidden="false" customHeight="false" outlineLevel="0" collapsed="false">
      <c r="B26" s="21" t="n">
        <f aca="false">$C$16</f>
        <v>71</v>
      </c>
      <c r="C26" s="22" t="n">
        <f aca="false">B26*$C$9</f>
        <v>1420000</v>
      </c>
      <c r="D26" s="22" t="n">
        <f aca="false">B26*$C$12</f>
        <v>603500</v>
      </c>
      <c r="E26" s="23" t="n">
        <f aca="false">D26-$C$6</f>
        <v>3500</v>
      </c>
      <c r="F26" s="24" t="n">
        <f aca="false">$C$6/B26/$C$9</f>
        <v>0.422535211267606</v>
      </c>
      <c r="G26" s="7" t="s">
        <v>25</v>
      </c>
    </row>
    <row r="27" customFormat="false" ht="15" hidden="false" customHeight="false" outlineLevel="0" collapsed="false">
      <c r="B27" s="17" t="n">
        <v>80</v>
      </c>
      <c r="C27" s="18" t="n">
        <f aca="false">B27*$C$9</f>
        <v>1600000</v>
      </c>
      <c r="D27" s="18" t="n">
        <f aca="false">B27*$C$12</f>
        <v>680000</v>
      </c>
      <c r="E27" s="19" t="n">
        <f aca="false">D27-$C$6</f>
        <v>80000</v>
      </c>
      <c r="F27" s="20" t="n">
        <f aca="false">$C$6/B27/$C$9</f>
        <v>0.375</v>
      </c>
    </row>
    <row r="28" customFormat="false" ht="15" hidden="false" customHeight="false" outlineLevel="0" collapsed="false">
      <c r="B28" s="17" t="n">
        <v>100</v>
      </c>
      <c r="C28" s="18" t="n">
        <f aca="false">B28*$C$9</f>
        <v>2000000</v>
      </c>
      <c r="D28" s="18" t="n">
        <f aca="false">B28*$C$12</f>
        <v>850000</v>
      </c>
      <c r="E28" s="19" t="n">
        <f aca="false">D28-$C$6</f>
        <v>250000</v>
      </c>
      <c r="F28" s="20" t="n">
        <f aca="false">$C$6/B28/$C$9</f>
        <v>0.3</v>
      </c>
    </row>
    <row r="29" customFormat="false" ht="15" hidden="false" customHeight="false" outlineLevel="0" collapsed="false">
      <c r="B29" s="17" t="n">
        <v>120</v>
      </c>
      <c r="C29" s="18" t="n">
        <f aca="false">B29*$C$9</f>
        <v>2400000</v>
      </c>
      <c r="D29" s="18" t="n">
        <f aca="false">B29*$C$12</f>
        <v>1020000</v>
      </c>
      <c r="E29" s="19" t="n">
        <f aca="false">D29-$C$6</f>
        <v>420000</v>
      </c>
      <c r="F29" s="20" t="n">
        <f aca="false">$C$6/B29/$C$9</f>
        <v>0.25</v>
      </c>
    </row>
    <row r="30" customFormat="false" ht="15" hidden="false" customHeight="false" outlineLevel="0" collapsed="false">
      <c r="B30" s="17" t="n">
        <v>150</v>
      </c>
      <c r="C30" s="18" t="n">
        <f aca="false">B30*$C$9</f>
        <v>3000000</v>
      </c>
      <c r="D30" s="18" t="n">
        <f aca="false">B30*$C$12</f>
        <v>1275000</v>
      </c>
      <c r="E30" s="19" t="n">
        <f aca="false">D30-$C$6</f>
        <v>675000</v>
      </c>
      <c r="F30" s="20" t="n">
        <f aca="false">$C$6/B30/$C$9</f>
        <v>0.2</v>
      </c>
    </row>
    <row r="31" customFormat="false" ht="15" hidden="false" customHeight="false" outlineLevel="0" collapsed="false">
      <c r="B31" s="17" t="n">
        <v>200</v>
      </c>
      <c r="C31" s="18" t="n">
        <f aca="false">B31*$C$9</f>
        <v>4000000</v>
      </c>
      <c r="D31" s="18" t="n">
        <f aca="false">B31*$C$12</f>
        <v>1700000</v>
      </c>
      <c r="E31" s="19" t="n">
        <f aca="false">D31-$C$6</f>
        <v>1100000</v>
      </c>
      <c r="F31" s="20" t="n">
        <f aca="false">$C$6/B31/$C$9</f>
        <v>0.15</v>
      </c>
    </row>
    <row r="34" customFormat="false" ht="15" hidden="false" customHeight="false" outlineLevel="0" collapsed="false">
      <c r="B34" s="25" t="s">
        <v>26</v>
      </c>
    </row>
    <row r="35" customFormat="false" ht="15" hidden="false" customHeight="false" outlineLevel="0" collapsed="false">
      <c r="B35" s="26" t="s">
        <v>27</v>
      </c>
    </row>
    <row r="36" customFormat="false" ht="15" hidden="false" customHeight="false" outlineLevel="0" collapsed="false">
      <c r="B36" s="26" t="s">
        <v>28</v>
      </c>
    </row>
    <row r="37" customFormat="false" ht="15" hidden="false" customHeight="false" outlineLevel="0" collapsed="false">
      <c r="B37" s="26" t="s">
        <v>29</v>
      </c>
    </row>
    <row r="38" customFormat="false" ht="15" hidden="false" customHeight="false" outlineLevel="0" collapsed="false">
      <c r="B38" s="26" t="s">
        <v>30</v>
      </c>
    </row>
    <row r="39" customFormat="false" ht="15" hidden="false" customHeight="false" outlineLevel="0" collapsed="false">
      <c r="B39" s="27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2026-09-07T23:35:33Z</dcterms:created>
  <dc:creator>openpyxl</dc:creator>
  <dc:description/>
  <dc:language>en-US</dc:language>
  <cp:lastModifiedBy/>
  <dcterms:modified xsi:type="dcterms:W3CDTF">2026-09-07T23:35:33Z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